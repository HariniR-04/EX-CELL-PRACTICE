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8_{AF782E02-07C1-4D36-8595-4229C2410E43}" xr6:coauthVersionLast="47" xr6:coauthVersionMax="47" xr10:uidLastSave="{00000000-0000-0000-0000-000000000000}"/>
  <bookViews>
    <workbookView xWindow="-108" yWindow="-108" windowWidth="23256" windowHeight="12456" firstSheet="2" activeTab="3" xr2:uid="{00000000-000D-0000-FFFF-FFFF00000000}"/>
  </bookViews>
  <sheets>
    <sheet name="Sheet2" sheetId="5" r:id="rId1"/>
    <sheet name="calculatin 1" sheetId="6" r:id="rId2"/>
    <sheet name="Sheet4" sheetId="7" r:id="rId3"/>
    <sheet name="final sheet" sheetId="8" r:id="rId4"/>
    <sheet name="Business_Transactions" sheetId="1" r:id="rId5"/>
    <sheet name="calculation" sheetId="4" r:id="rId6"/>
    <sheet name="Pivot_Practice_Guide" sheetId="2" r:id="rId7"/>
    <sheet name="Student_Tasks" sheetId="3" r:id="rId8"/>
  </sheets>
  <definedNames>
    <definedName name="Slicer_Category">#N/A</definedName>
    <definedName name="Slicer_Region">#N/A</definedName>
    <definedName name="Slicer_Sales">#N/A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7" l="1"/>
  <c r="I85" i="1"/>
  <c r="H14" i="7"/>
  <c r="C16" i="7"/>
  <c r="M15" i="7"/>
  <c r="I84" i="1"/>
  <c r="H84" i="1"/>
  <c r="G84" i="1"/>
</calcChain>
</file>

<file path=xl/sharedStrings.xml><?xml version="1.0" encoding="utf-8"?>
<sst xmlns="http://schemas.openxmlformats.org/spreadsheetml/2006/main" count="523" uniqueCount="170">
  <si>
    <t>KIOT - Advanced Excel &amp; Power BI | Batch 1 | Day 2 - Session 3: PivotTable Business Analysis</t>
  </si>
  <si>
    <t>Order ID</t>
  </si>
  <si>
    <t>Order Date</t>
  </si>
  <si>
    <t>Region</t>
  </si>
  <si>
    <t>Department</t>
  </si>
  <si>
    <t>Salesperson</t>
  </si>
  <si>
    <t>Category</t>
  </si>
  <si>
    <t>Sales</t>
  </si>
  <si>
    <t>Profit</t>
  </si>
  <si>
    <t>Units</t>
  </si>
  <si>
    <t>O0001</t>
  </si>
  <si>
    <t>Salem</t>
  </si>
  <si>
    <t>Arun</t>
  </si>
  <si>
    <t>Laptop</t>
  </si>
  <si>
    <t>O0002</t>
  </si>
  <si>
    <t>Erode</t>
  </si>
  <si>
    <t>Retail</t>
  </si>
  <si>
    <t>Divya</t>
  </si>
  <si>
    <t>Mobile</t>
  </si>
  <si>
    <t>O0003</t>
  </si>
  <si>
    <t>Coimbatore</t>
  </si>
  <si>
    <t>Corporate</t>
  </si>
  <si>
    <t>Kavin</t>
  </si>
  <si>
    <t>Accessories</t>
  </si>
  <si>
    <t>O0004</t>
  </si>
  <si>
    <t>Namakkal</t>
  </si>
  <si>
    <t>Meena</t>
  </si>
  <si>
    <t>Service</t>
  </si>
  <si>
    <t>O0005</t>
  </si>
  <si>
    <t>Naveen</t>
  </si>
  <si>
    <t>O0006</t>
  </si>
  <si>
    <t>Priya</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</si>
  <si>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</si>
  <si>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</si>
  <si>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</si>
  <si>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</si>
  <si>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</si>
  <si>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</si>
  <si>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</si>
  <si>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</si>
  <si>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</si>
  <si>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</si>
  <si>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</si>
  <si>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</si>
  <si>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</si>
  <si>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</si>
  <si>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</si>
  <si>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</si>
  <si>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</si>
  <si>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</si>
  <si>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</si>
  <si>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</si>
  <si>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</si>
  <si>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</si>
  <si>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</si>
  <si>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</si>
  <si>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</si>
  <si>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</si>
  <si>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</si>
  <si>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</si>
  <si>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</si>
  <si>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</si>
  <si>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</si>
  <si>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</si>
  <si>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</si>
  <si>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</si>
  <si>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</si>
  <si>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</si>
  <si>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</si>
  <si>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</si>
  <si>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</si>
  <si>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</si>
  <si>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</si>
  <si>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</si>
  <si>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</si>
  <si>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</si>
  <si>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</si>
  <si>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</si>
  <si>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</si>
  <si>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</si>
  <si>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</si>
  <si>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</si>
  <si>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</si>
  <si>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</si>
  <si>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</si>
  <si>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</si>
  <si>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</si>
  <si>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</si>
  <si>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</si>
  <si>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</si>
  <si>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</si>
  <si>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</si>
  <si>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</si>
  <si>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</si>
  <si>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</si>
  <si>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</si>
  <si>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</si>
  <si>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</si>
  <si>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</si>
  <si>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</si>
  <si>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</si>
  <si>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</si>
  <si>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</si>
  <si>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</si>
  <si>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</si>
  <si>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</si>
  <si>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SESSION 3 - PIVOTTABLE BUSINESS ANALYSIS PRACTICE</t>
  </si>
  <si>
    <t>Exercise</t>
  </si>
  <si>
    <t>Rows</t>
  </si>
  <si>
    <t>Columns</t>
  </si>
  <si>
    <t>Values</t>
  </si>
  <si>
    <t>Filters / Action</t>
  </si>
  <si>
    <t>Business Question</t>
  </si>
  <si>
    <t>1</t>
  </si>
  <si>
    <t>Sum of Sales</t>
  </si>
  <si>
    <t>Which region sells the most?</t>
  </si>
  <si>
    <t>2</t>
  </si>
  <si>
    <t>Which category contributes most sales?</t>
  </si>
  <si>
    <t>3</t>
  </si>
  <si>
    <t>How do categories perform by region?</t>
  </si>
  <si>
    <t>4</t>
  </si>
  <si>
    <t>Average of Profit</t>
  </si>
  <si>
    <t>Which department has highest average profit?</t>
  </si>
  <si>
    <t>5</t>
  </si>
  <si>
    <t>Count of Order ID</t>
  </si>
  <si>
    <t>Who handles the most orders?</t>
  </si>
  <si>
    <t>6</t>
  </si>
  <si>
    <t>Group by Months</t>
  </si>
  <si>
    <t>How do sales change month by month?</t>
  </si>
  <si>
    <t>7</t>
  </si>
  <si>
    <t>Sort Largest to Smallest</t>
  </si>
  <si>
    <t>Rank regions by sales</t>
  </si>
  <si>
    <t>8</t>
  </si>
  <si>
    <t>Value Filters -&gt; Top 10 -&gt; Top 5</t>
  </si>
  <si>
    <t>Who are the top 5 salespeople?</t>
  </si>
  <si>
    <t>9</t>
  </si>
  <si>
    <t>Sum of Profit</t>
  </si>
  <si>
    <t>Filter Category</t>
  </si>
  <si>
    <t>Crosstab profitability analysis</t>
  </si>
  <si>
    <t>SESSION 3 - STUDENT TASKS</t>
  </si>
  <si>
    <t>Task</t>
  </si>
  <si>
    <t>Exact Path</t>
  </si>
  <si>
    <t>Build</t>
  </si>
  <si>
    <t>Expected Skill</t>
  </si>
  <si>
    <t>Select source -&gt; Insert -&gt; PivotTable -&gt; From Table/Range -&gt; New Worksheet -&gt; OK</t>
  </si>
  <si>
    <t>Region Sales Pivot</t>
  </si>
  <si>
    <t>Basic PivotTable</t>
  </si>
  <si>
    <t>PivotTable Fields -&gt; drag Region to Rows -&gt; Sales to Values</t>
  </si>
  <si>
    <t>Region total sales</t>
  </si>
  <si>
    <t>Rows + Values</t>
  </si>
  <si>
    <t>Drag Category to Columns</t>
  </si>
  <si>
    <t>Region x Category crosstab</t>
  </si>
  <si>
    <t>Value field dropdown -&gt; Value Field Settings -&gt; Average</t>
  </si>
  <si>
    <t>Average Profit</t>
  </si>
  <si>
    <t>Change aggregation</t>
  </si>
  <si>
    <t>Right-click a date -&gt; Group -&gt; Months -&gt; OK</t>
  </si>
  <si>
    <t>Monthly sales</t>
  </si>
  <si>
    <t>Date grouping</t>
  </si>
  <si>
    <t>Row Labels -&gt; Sort -&gt; Largest to Smallest</t>
  </si>
  <si>
    <t>Ranked sales</t>
  </si>
  <si>
    <t>Sorting</t>
  </si>
  <si>
    <t>Row Labels -&gt; Value Filters -&gt; Top 10 -&gt; Top 5</t>
  </si>
  <si>
    <t>Top 5 salespeople</t>
  </si>
  <si>
    <t>Top analysis</t>
  </si>
  <si>
    <t>Drag Category to Filters</t>
  </si>
  <si>
    <t>Interactive category filter</t>
  </si>
  <si>
    <t>Report filter</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</si>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</sst>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6" formatCode="[$$-C09]#,##0"/>
  </numFmts>
  <fonts count="5">
    <font>
      <sz val="11"/>
      <name val="Carlito"/>
    </font>
    <font>
      <b/>
      <sz val="14"/>
      <color rgb="FFFFFFFF"/>
      <name val="Carlito"/>
    </font>
    <font>
      <b/>
      <sz val="11"/>
      <color rgb="FFFFFFFF"/>
      <name val="Carlito"/>
    </font>
    <font>
      <sz val="35"/>
      <color theme="1"/>
      <name val="Carlito"/>
    </font>
    <font>
      <sz val="36"/>
      <name val="Carlito"/>
    </font>
  </fonts>
  <fills count="3">
    <fill>
      <patternFill patternType="none"/>
    </fill>
    <fill>
      <patternFill patternType="gray125"/>
    </fill>
    <fill>
      <patternFill patternType="solid">
        <fgColor rgb="FF123E63"/>
      </patternFill>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5">
    <xf numFmtId="0" fontId="0" fillId="0" borderId="0" xfId="0"/>
    <xf numFmtId="164" fontId="0" fillId="0" borderId="0" xfId="0" applyNumberFormat="1"/>
    <xf numFmtId="165" fontId="0" fillId="0" borderId="0" xfId="0" applyNumberFormat="1"/>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0" fillId="0" borderId="4" xfId="0" applyBorder="1"/>
    <xf numFmtId="0" fontId="0" fillId="0" borderId="5" xfId="0" applyBorder="1"/>
    <xf numFmtId="0" fontId="0" fillId="0" borderId="6" xfId="0" applyBorder="1"/>
    <xf numFmtId="164" fontId="0" fillId="0" borderId="7" xfId="0" applyNumberFormat="1" applyBorder="1"/>
    <xf numFmtId="0" fontId="0" fillId="0" borderId="7" xfId="0" applyBorder="1"/>
    <xf numFmtId="165" fontId="0" fillId="0" borderId="7" xfId="0" applyNumberFormat="1" applyBorder="1"/>
    <xf numFmtId="0" fontId="0" fillId="0" borderId="8" xfId="0" applyBorder="1"/>
    <xf numFmtId="0" fontId="0" fillId="0" borderId="4" xfId="0" applyBorder="1" applyAlignment="1">
      <alignment wrapText="1"/>
    </xf>
    <xf numFmtId="0" fontId="0" fillId="0" borderId="0" xfId="0"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0" xfId="0" pivotButton="1"/>
    <xf numFmtId="0" fontId="0" fillId="0" borderId="0" xfId="0" applyAlignment="1">
      <alignment horizontal="left"/>
    </xf>
    <xf numFmtId="166" fontId="0" fillId="0" borderId="0" xfId="0" applyNumberFormat="1"/>
    <xf numFmtId="0" fontId="1" fillId="2" borderId="0" xfId="0" applyFont="1" applyFill="1" applyAlignment="1">
      <alignment horizontal="center" vertical="center"/>
    </xf>
    <xf numFmtId="0" fontId="3" fillId="0" borderId="0" xfId="0" applyFont="1" applyAlignment="1">
      <alignment horizontal="center"/>
    </xf>
    <xf numFmtId="0" fontId="4" fillId="0" borderId="0" xfId="0" applyFont="1"/>
    <xf numFmtId="0" fontId="0" fillId="0" borderId="0" xfId="0" applyFont="1"/>
  </cellXfs>
  <cellStyles count="1">
    <cellStyle name="Normal" xfId="0" builtinId="0"/>
  </cellStyles>
  <dxfs count="2">
    <dxf>
      <numFmt numFmtId="165" formatCode="\₹#,##0"/>
    </dxf>
    <dxf>
      <numFmt numFmtId="165"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R.xlsx]Sheet2!PivotTable1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899531760"/>
        <c:axId val="1268302288"/>
      </c:barChart>
      <c:catAx>
        <c:axId val="8995317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302288"/>
        <c:crosses val="autoZero"/>
        <c:auto val="1"/>
        <c:lblAlgn val="ctr"/>
        <c:lblOffset val="100"/>
        <c:noMultiLvlLbl val="0"/>
      </c:catAx>
      <c:valAx>
        <c:axId val="126830228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'calculatin 1'!$B$3</c:f>
              <c:strCache>
                <c:ptCount val="1"/>
                <c:pt idx="0">
                  <c:v>Total</c:v>
                </c:pt>
              </c:strCache>
            </c:strRef>
          </c:tx>
          <c:spPr>
            <a:solidFill>
              <a:schemeClr val="accent2">
                <a:lumMod val="60000"/>
                <a:lumOff val="40000"/>
              </a:schemeClr>
            </a:solidFill>
            <a:ln>
              <a:solidFill>
                <a:schemeClr val="tx1">
                  <a:lumMod val="50000"/>
                  <a:lumOff val="50000"/>
                </a:schemeClr>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'calculatin 1'!$A$4:$A$8</c:f>
              <c:strCache>
                <c:ptCount val="4"/>
                <c:pt idx="0">
                  <c:v>Coimbatore</c:v>
                </c:pt>
                <c:pt idx="1">
                  <c:v>Erode</c:v>
                </c:pt>
                <c:pt idx="2">
                  <c:v>Namakkal</c:v>
                </c:pt>
                <c:pt idx="3">
                  <c:v>Salem</c:v>
                </c:pt>
              </c:strCache>
            </c:strRef>
          </c:cat>
          <c:val>
            <c:numRef>
              <c:f>'calculatin 1'!$B$4:$B$8</c:f>
              <c:numCache>
                <c:formatCode>[$$-C09]#,##0</c:formatCode>
                <c:ptCount val="4"/>
                <c:pt idx="0">
                  <c:v>960000</c:v>
                </c:pt>
                <c:pt idx="1">
                  <c:v>967000</c:v>
                </c:pt>
                <c:pt idx="2">
                  <c:v>949000</c:v>
                </c:pt>
                <c:pt idx="3">
                  <c:v>978000</c:v>
                </c:pt>
              </c:numCache>
            </c:numRef>
          </c:val>
          <c:extLst>
            <c:ext xmlns:c16="http://schemas.microsoft.com/office/drawing/2014/chart" uri="{C3380CC4-5D6E-409C-BE32-E72D297353CC}">
              <c16:uniqueId val="{00000000-4124-42BB-87CA-40717B3EFC8D}"/>
            </c:ext>
          </c:extLst>
        </c:ser>
        <c:dLbls>
          <c:showLegendKey val="0"/>
          <c:showVal val="0"/>
          <c:showCatName val="0"/>
          <c:showSerName val="0"/>
          <c:showPercent val="0"/>
          <c:showBubbleSize val="0"/>
        </c:dLbls>
        <c:gapWidth val="219"/>
        <c:overlap val="-27"/>
        <c:axId val="1432346704"/>
        <c:axId val="1199393520"/>
      </c:barChart>
      <c:catAx>
        <c:axId val="1432346704"/>
        <c:scaling>
          <c:orientation val="minMax"/>
        </c:scaling>
        <c:delete val="0"/>
        <c:axPos val="b"/>
        <c:numFmt formatCode="General" sourceLinked="1"/>
        <c:majorTickMark val="none"/>
        <c:minorTickMark val="none"/>
        <c:tickLblPos val="nextTo"/>
        <c:spPr>
          <a:solidFill>
            <a:schemeClr val="tx2">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393520"/>
        <c:crosses val="autoZero"/>
        <c:auto val="1"/>
        <c:lblAlgn val="ctr"/>
        <c:lblOffset val="100"/>
        <c:noMultiLvlLbl val="0"/>
      </c:catAx>
      <c:valAx>
        <c:axId val="1199393520"/>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solidFill>
            <a:schemeClr val="tx2">
              <a:lumMod val="10000"/>
              <a:lumOff val="9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46704"/>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1!PivotTable3</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'calculatin 1'!$B$11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2D-4BC6-BEE9-BA0335813B7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2D-4BC6-BEE9-BA0335813B7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B2D-4BC6-BEE9-BA0335813B7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B2D-4BC6-BEE9-BA0335813B76}"/>
              </c:ext>
            </c:extLst>
          </c:dPt>
          <c:cat>
            <c:strRef>
              <c:f>'calculatin 1'!$A$12:$A$16</c:f>
              <c:strCache>
                <c:ptCount val="4"/>
                <c:pt idx="0">
                  <c:v>Accessories</c:v>
                </c:pt>
                <c:pt idx="1">
                  <c:v>Laptop</c:v>
                </c:pt>
                <c:pt idx="2">
                  <c:v>Mobile</c:v>
                </c:pt>
                <c:pt idx="3">
                  <c:v>Service</c:v>
                </c:pt>
              </c:strCache>
            </c:strRef>
          </c:cat>
          <c:val>
            <c:numRef>
              <c:f>'calculatin 1'!$B$12:$B$16</c:f>
              <c:numCache>
                <c:formatCode>[$$-C09]#,##0</c:formatCode>
                <c:ptCount val="4"/>
                <c:pt idx="0">
                  <c:v>960000</c:v>
                </c:pt>
                <c:pt idx="1">
                  <c:v>978000</c:v>
                </c:pt>
                <c:pt idx="2">
                  <c:v>967000</c:v>
                </c:pt>
                <c:pt idx="3">
                  <c:v>949000</c:v>
                </c:pt>
              </c:numCache>
            </c:numRef>
          </c:val>
          <c:extLst>
            <c:ext xmlns:c16="http://schemas.microsoft.com/office/drawing/2014/chart" uri="{C3380CC4-5D6E-409C-BE32-E72D297353CC}">
              <c16:uniqueId val="{00000000-170C-42E9-B375-77BCA4CCB42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653414342315485"/>
          <c:y val="0.27390673948014554"/>
          <c:w val="0.2052674944294384"/>
          <c:h val="0.58571829226991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'calculatin 1'!$L$18:$L$19</c:f>
              <c:strCache>
                <c:ptCount val="1"/>
                <c:pt idx="0">
                  <c:v>Accessories</c:v>
                </c:pt>
              </c:strCache>
            </c:strRef>
          </c:tx>
          <c:spPr>
            <a:solidFill>
              <a:schemeClr val="accent1"/>
            </a:solidFill>
            <a:ln>
              <a:noFill/>
            </a:ln>
            <a:effectLst/>
          </c:spPr>
          <c:invertIfNegative val="0"/>
          <c:cat>
            <c:strRef>
              <c:f>'calculatin 1'!$K$20:$K$24</c:f>
              <c:strCache>
                <c:ptCount val="4"/>
                <c:pt idx="0">
                  <c:v>Coimbatore</c:v>
                </c:pt>
                <c:pt idx="1">
                  <c:v>Erode</c:v>
                </c:pt>
                <c:pt idx="2">
                  <c:v>Namakkal</c:v>
                </c:pt>
                <c:pt idx="3">
                  <c:v>Salem</c:v>
                </c:pt>
              </c:strCache>
            </c:strRef>
          </c:cat>
          <c:val>
            <c:numRef>
              <c:f>'calculatin 1'!$L$20:$L$24</c:f>
              <c:numCache>
                <c:formatCode>[$$-C09]#,##0</c:formatCode>
                <c:ptCount val="4"/>
                <c:pt idx="0">
                  <c:v>8159.3</c:v>
                </c:pt>
              </c:numCache>
            </c:numRef>
          </c:val>
          <c:extLst>
            <c:ext xmlns:c16="http://schemas.microsoft.com/office/drawing/2014/chart" uri="{C3380CC4-5D6E-409C-BE32-E72D297353CC}">
              <c16:uniqueId val="{00000000-6F2A-456B-AC0E-34A6331EDA5A}"/>
            </c:ext>
          </c:extLst>
        </c:ser>
        <c:ser>
          <c:idx val="1"/>
          <c:order val="1"/>
          <c:tx>
            <c:strRef>
              <c:f>'calculatin 1'!$M$18:$M$19</c:f>
              <c:strCache>
                <c:ptCount val="1"/>
                <c:pt idx="0">
                  <c:v>Laptop</c:v>
                </c:pt>
              </c:strCache>
            </c:strRef>
          </c:tx>
          <c:spPr>
            <a:solidFill>
              <a:schemeClr val="accent2"/>
            </a:solidFill>
            <a:ln>
              <a:noFill/>
            </a:ln>
            <a:effectLst/>
          </c:spPr>
          <c:invertIfNegative val="0"/>
          <c:cat>
            <c:strRef>
              <c:f>'calculatin 1'!$K$20:$K$24</c:f>
              <c:strCache>
                <c:ptCount val="4"/>
                <c:pt idx="0">
                  <c:v>Coimbatore</c:v>
                </c:pt>
                <c:pt idx="1">
                  <c:v>Erode</c:v>
                </c:pt>
                <c:pt idx="2">
                  <c:v>Namakkal</c:v>
                </c:pt>
                <c:pt idx="3">
                  <c:v>Salem</c:v>
                </c:pt>
              </c:strCache>
            </c:strRef>
          </c:cat>
          <c:val>
            <c:numRef>
              <c:f>'calculatin 1'!$M$20:$M$24</c:f>
              <c:numCache>
                <c:formatCode>[$$-C09]#,##0</c:formatCode>
                <c:ptCount val="4"/>
                <c:pt idx="3">
                  <c:v>5868</c:v>
                </c:pt>
              </c:numCache>
            </c:numRef>
          </c:val>
          <c:extLst>
            <c:ext xmlns:c16="http://schemas.microsoft.com/office/drawing/2014/chart" uri="{C3380CC4-5D6E-409C-BE32-E72D297353CC}">
              <c16:uniqueId val="{00000007-7C0D-4B0B-8E94-6817D2490F90}"/>
            </c:ext>
          </c:extLst>
        </c:ser>
        <c:ser>
          <c:idx val="2"/>
          <c:order val="2"/>
          <c:tx>
            <c:strRef>
              <c:f>'calculatin 1'!$N$18:$N$19</c:f>
              <c:strCache>
                <c:ptCount val="1"/>
                <c:pt idx="0">
                  <c:v>Mobile</c:v>
                </c:pt>
              </c:strCache>
            </c:strRef>
          </c:tx>
          <c:spPr>
            <a:solidFill>
              <a:schemeClr val="accent3"/>
            </a:solidFill>
            <a:ln>
              <a:noFill/>
            </a:ln>
            <a:effectLst/>
          </c:spPr>
          <c:invertIfNegative val="0"/>
          <c:cat>
            <c:strRef>
              <c:f>'calculatin 1'!$K$20:$K$24</c:f>
              <c:strCache>
                <c:ptCount val="4"/>
                <c:pt idx="0">
                  <c:v>Coimbatore</c:v>
                </c:pt>
                <c:pt idx="1">
                  <c:v>Erode</c:v>
                </c:pt>
                <c:pt idx="2">
                  <c:v>Namakkal</c:v>
                </c:pt>
                <c:pt idx="3">
                  <c:v>Salem</c:v>
                </c:pt>
              </c:strCache>
            </c:strRef>
          </c:cat>
          <c:val>
            <c:numRef>
              <c:f>'calculatin 1'!$N$20:$N$24</c:f>
              <c:numCache>
                <c:formatCode>[$$-C09]#,##0</c:formatCode>
                <c:ptCount val="4"/>
                <c:pt idx="1">
                  <c:v>7010.4</c:v>
                </c:pt>
              </c:numCache>
            </c:numRef>
          </c:val>
          <c:extLst>
            <c:ext xmlns:c16="http://schemas.microsoft.com/office/drawing/2014/chart" uri="{C3380CC4-5D6E-409C-BE32-E72D297353CC}">
              <c16:uniqueId val="{00000008-7C0D-4B0B-8E94-6817D2490F90}"/>
            </c:ext>
          </c:extLst>
        </c:ser>
        <c:ser>
          <c:idx val="3"/>
          <c:order val="3"/>
          <c:tx>
            <c:strRef>
              <c:f>'calculatin 1'!$O$18:$O$19</c:f>
              <c:strCache>
                <c:ptCount val="1"/>
                <c:pt idx="0">
                  <c:v>Service</c:v>
                </c:pt>
              </c:strCache>
            </c:strRef>
          </c:tx>
          <c:spPr>
            <a:solidFill>
              <a:schemeClr val="accent4"/>
            </a:solidFill>
            <a:ln>
              <a:noFill/>
            </a:ln>
            <a:effectLst/>
          </c:spPr>
          <c:invertIfNegative val="0"/>
          <c:cat>
            <c:strRef>
              <c:f>'calculatin 1'!$K$20:$K$24</c:f>
              <c:strCache>
                <c:ptCount val="4"/>
                <c:pt idx="0">
                  <c:v>Coimbatore</c:v>
                </c:pt>
                <c:pt idx="1">
                  <c:v>Erode</c:v>
                </c:pt>
                <c:pt idx="2">
                  <c:v>Namakkal</c:v>
                </c:pt>
                <c:pt idx="3">
                  <c:v>Salem</c:v>
                </c:pt>
              </c:strCache>
            </c:strRef>
          </c:cat>
          <c:val>
            <c:numRef>
              <c:f>'calculatin 1'!$O$20:$O$24</c:f>
              <c:numCache>
                <c:formatCode>[$$-C09]#,##0</c:formatCode>
                <c:ptCount val="4"/>
                <c:pt idx="2">
                  <c:v>9252.5</c:v>
                </c:pt>
              </c:numCache>
            </c:numRef>
          </c:val>
          <c:extLst>
            <c:ext xmlns:c16="http://schemas.microsoft.com/office/drawing/2014/chart" uri="{C3380CC4-5D6E-409C-BE32-E72D297353CC}">
              <c16:uniqueId val="{00000009-7C0D-4B0B-8E94-6817D2490F90}"/>
            </c:ext>
          </c:extLst>
        </c:ser>
        <c:dLbls>
          <c:showLegendKey val="0"/>
          <c:showVal val="0"/>
          <c:showCatName val="0"/>
          <c:showSerName val="0"/>
          <c:showPercent val="0"/>
          <c:showBubbleSize val="0"/>
        </c:dLbls>
        <c:gapWidth val="182"/>
        <c:axId val="1401641904"/>
        <c:axId val="1405812464"/>
      </c:barChart>
      <c:catAx>
        <c:axId val="140164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812464"/>
        <c:crosses val="autoZero"/>
        <c:auto val="1"/>
        <c:lblAlgn val="ctr"/>
        <c:lblOffset val="100"/>
        <c:noMultiLvlLbl val="0"/>
      </c:catAx>
      <c:valAx>
        <c:axId val="1405812464"/>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6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1!PivotTable3</c:name>
    <c:fmtId val="5"/>
  </c:pivotSource>
  <c:chart>
    <c:title>
      <c:layout>
        <c:manualLayout>
          <c:xMode val="edge"/>
          <c:yMode val="edge"/>
          <c:x val="0.45083333333333336"/>
          <c:y val="0.147143422140725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'calculatin 1'!$B$11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150-4B43-A916-E0FAEC1D77D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150-4B43-A916-E0FAEC1D77D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150-4B43-A916-E0FAEC1D77D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150-4B43-A916-E0FAEC1D77D5}"/>
              </c:ext>
            </c:extLst>
          </c:dPt>
          <c:cat>
            <c:strRef>
              <c:f>'calculatin 1'!$A$12:$A$16</c:f>
              <c:strCache>
                <c:ptCount val="4"/>
                <c:pt idx="0">
                  <c:v>Accessories</c:v>
                </c:pt>
                <c:pt idx="1">
                  <c:v>Laptop</c:v>
                </c:pt>
                <c:pt idx="2">
                  <c:v>Mobile</c:v>
                </c:pt>
                <c:pt idx="3">
                  <c:v>Service</c:v>
                </c:pt>
              </c:strCache>
            </c:strRef>
          </c:cat>
          <c:val>
            <c:numRef>
              <c:f>'calculatin 1'!$B$12:$B$16</c:f>
              <c:numCache>
                <c:formatCode>[$$-C09]#,##0</c:formatCode>
                <c:ptCount val="4"/>
                <c:pt idx="0">
                  <c:v>960000</c:v>
                </c:pt>
                <c:pt idx="1">
                  <c:v>978000</c:v>
                </c:pt>
                <c:pt idx="2">
                  <c:v>967000</c:v>
                </c:pt>
                <c:pt idx="3">
                  <c:v>949000</c:v>
                </c:pt>
              </c:numCache>
            </c:numRef>
          </c:val>
          <c:extLst>
            <c:ext xmlns:c16="http://schemas.microsoft.com/office/drawing/2014/chart" uri="{C3380CC4-5D6E-409C-BE32-E72D297353CC}">
              <c16:uniqueId val="{00000008-D150-4B43-A916-E0FAEC1D77D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653414342315485"/>
          <c:y val="0.27390673948014554"/>
          <c:w val="0.2052674944294384"/>
          <c:h val="0.58571829226991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'calculatin 1'!$B$3</c:f>
              <c:strCache>
                <c:ptCount val="1"/>
                <c:pt idx="0">
                  <c:v>Total</c:v>
                </c:pt>
              </c:strCache>
            </c:strRef>
          </c:tx>
          <c:spPr>
            <a:solidFill>
              <a:schemeClr val="accent2">
                <a:lumMod val="60000"/>
                <a:lumOff val="40000"/>
              </a:schemeClr>
            </a:solidFill>
            <a:ln>
              <a:solidFill>
                <a:schemeClr val="tx1">
                  <a:lumMod val="50000"/>
                  <a:lumOff val="50000"/>
                </a:schemeClr>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'calculatin 1'!$A$4:$A$8</c:f>
              <c:strCache>
                <c:ptCount val="4"/>
                <c:pt idx="0">
                  <c:v>Coimbatore</c:v>
                </c:pt>
                <c:pt idx="1">
                  <c:v>Erode</c:v>
                </c:pt>
                <c:pt idx="2">
                  <c:v>Namakkal</c:v>
                </c:pt>
                <c:pt idx="3">
                  <c:v>Salem</c:v>
                </c:pt>
              </c:strCache>
            </c:strRef>
          </c:cat>
          <c:val>
            <c:numRef>
              <c:f>'calculatin 1'!$B$4:$B$8</c:f>
              <c:numCache>
                <c:formatCode>[$$-C09]#,##0</c:formatCode>
                <c:ptCount val="4"/>
                <c:pt idx="0">
                  <c:v>960000</c:v>
                </c:pt>
                <c:pt idx="1">
                  <c:v>967000</c:v>
                </c:pt>
                <c:pt idx="2">
                  <c:v>949000</c:v>
                </c:pt>
                <c:pt idx="3">
                  <c:v>978000</c:v>
                </c:pt>
              </c:numCache>
            </c:numRef>
          </c:val>
          <c:extLst>
            <c:ext xmlns:c16="http://schemas.microsoft.com/office/drawing/2014/chart" uri="{C3380CC4-5D6E-409C-BE32-E72D297353CC}">
              <c16:uniqueId val="{00000000-96DC-456E-B3A3-F800F354E202}"/>
            </c:ext>
          </c:extLst>
        </c:ser>
        <c:dLbls>
          <c:showLegendKey val="0"/>
          <c:showVal val="0"/>
          <c:showCatName val="0"/>
          <c:showSerName val="0"/>
          <c:showPercent val="0"/>
          <c:showBubbleSize val="0"/>
        </c:dLbls>
        <c:gapWidth val="219"/>
        <c:overlap val="-27"/>
        <c:axId val="1432346704"/>
        <c:axId val="1199393520"/>
      </c:barChart>
      <c:catAx>
        <c:axId val="1432346704"/>
        <c:scaling>
          <c:orientation val="minMax"/>
        </c:scaling>
        <c:delete val="0"/>
        <c:axPos val="b"/>
        <c:numFmt formatCode="General" sourceLinked="1"/>
        <c:majorTickMark val="none"/>
        <c:minorTickMark val="none"/>
        <c:tickLblPos val="nextTo"/>
        <c:spPr>
          <a:solidFill>
            <a:schemeClr val="tx2">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393520"/>
        <c:crosses val="autoZero"/>
        <c:auto val="1"/>
        <c:lblAlgn val="ctr"/>
        <c:lblOffset val="100"/>
        <c:noMultiLvlLbl val="0"/>
      </c:catAx>
      <c:valAx>
        <c:axId val="1199393520"/>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solidFill>
            <a:schemeClr val="tx2">
              <a:lumMod val="10000"/>
              <a:lumOff val="9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46704"/>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'calculatin 1'!$L$18:$L$19</c:f>
              <c:strCache>
                <c:ptCount val="1"/>
                <c:pt idx="0">
                  <c:v>Accessories</c:v>
                </c:pt>
              </c:strCache>
            </c:strRef>
          </c:tx>
          <c:spPr>
            <a:solidFill>
              <a:schemeClr val="accent1"/>
            </a:solidFill>
            <a:ln>
              <a:noFill/>
            </a:ln>
            <a:effectLst/>
          </c:spPr>
          <c:invertIfNegative val="0"/>
          <c:cat>
            <c:strRef>
              <c:f>'calculatin 1'!$K$20:$K$24</c:f>
              <c:strCache>
                <c:ptCount val="4"/>
                <c:pt idx="0">
                  <c:v>Coimbatore</c:v>
                </c:pt>
                <c:pt idx="1">
                  <c:v>Erode</c:v>
                </c:pt>
                <c:pt idx="2">
                  <c:v>Namakkal</c:v>
                </c:pt>
                <c:pt idx="3">
                  <c:v>Salem</c:v>
                </c:pt>
              </c:strCache>
            </c:strRef>
          </c:cat>
          <c:val>
            <c:numRef>
              <c:f>'calculatin 1'!$L$20:$L$24</c:f>
              <c:numCache>
                <c:formatCode>[$$-C09]#,##0</c:formatCode>
                <c:ptCount val="4"/>
                <c:pt idx="0">
                  <c:v>8159.3</c:v>
                </c:pt>
              </c:numCache>
            </c:numRef>
          </c:val>
          <c:extLst>
            <c:ext xmlns:c16="http://schemas.microsoft.com/office/drawing/2014/chart" uri="{C3380CC4-5D6E-409C-BE32-E72D297353CC}">
              <c16:uniqueId val="{00000000-66A6-44D0-8A85-D11DDE47EB6F}"/>
            </c:ext>
          </c:extLst>
        </c:ser>
        <c:ser>
          <c:idx val="1"/>
          <c:order val="1"/>
          <c:tx>
            <c:strRef>
              <c:f>'calculatin 1'!$M$18:$M$19</c:f>
              <c:strCache>
                <c:ptCount val="1"/>
                <c:pt idx="0">
                  <c:v>Laptop</c:v>
                </c:pt>
              </c:strCache>
            </c:strRef>
          </c:tx>
          <c:spPr>
            <a:solidFill>
              <a:schemeClr val="accent2"/>
            </a:solidFill>
            <a:ln>
              <a:noFill/>
            </a:ln>
            <a:effectLst/>
          </c:spPr>
          <c:invertIfNegative val="0"/>
          <c:cat>
            <c:strRef>
              <c:f>'calculatin 1'!$K$20:$K$24</c:f>
              <c:strCache>
                <c:ptCount val="4"/>
                <c:pt idx="0">
                  <c:v>Coimbatore</c:v>
                </c:pt>
                <c:pt idx="1">
                  <c:v>Erode</c:v>
                </c:pt>
                <c:pt idx="2">
                  <c:v>Namakkal</c:v>
                </c:pt>
                <c:pt idx="3">
                  <c:v>Salem</c:v>
                </c:pt>
              </c:strCache>
            </c:strRef>
          </c:cat>
          <c:val>
            <c:numRef>
              <c:f>'calculatin 1'!$M$20:$M$24</c:f>
              <c:numCache>
                <c:formatCode>[$$-C09]#,##0</c:formatCode>
                <c:ptCount val="4"/>
                <c:pt idx="3">
                  <c:v>5868</c:v>
                </c:pt>
              </c:numCache>
            </c:numRef>
          </c:val>
          <c:extLst>
            <c:ext xmlns:c16="http://schemas.microsoft.com/office/drawing/2014/chart" uri="{C3380CC4-5D6E-409C-BE32-E72D297353CC}">
              <c16:uniqueId val="{00000007-336B-4CB5-9422-00D265B86F90}"/>
            </c:ext>
          </c:extLst>
        </c:ser>
        <c:ser>
          <c:idx val="2"/>
          <c:order val="2"/>
          <c:tx>
            <c:strRef>
              <c:f>'calculatin 1'!$N$18:$N$19</c:f>
              <c:strCache>
                <c:ptCount val="1"/>
                <c:pt idx="0">
                  <c:v>Mobile</c:v>
                </c:pt>
              </c:strCache>
            </c:strRef>
          </c:tx>
          <c:spPr>
            <a:solidFill>
              <a:schemeClr val="accent3"/>
            </a:solidFill>
            <a:ln>
              <a:noFill/>
            </a:ln>
            <a:effectLst/>
          </c:spPr>
          <c:invertIfNegative val="0"/>
          <c:cat>
            <c:strRef>
              <c:f>'calculatin 1'!$K$20:$K$24</c:f>
              <c:strCache>
                <c:ptCount val="4"/>
                <c:pt idx="0">
                  <c:v>Coimbatore</c:v>
                </c:pt>
                <c:pt idx="1">
                  <c:v>Erode</c:v>
                </c:pt>
                <c:pt idx="2">
                  <c:v>Namakkal</c:v>
                </c:pt>
                <c:pt idx="3">
                  <c:v>Salem</c:v>
                </c:pt>
              </c:strCache>
            </c:strRef>
          </c:cat>
          <c:val>
            <c:numRef>
              <c:f>'calculatin 1'!$N$20:$N$24</c:f>
              <c:numCache>
                <c:formatCode>[$$-C09]#,##0</c:formatCode>
                <c:ptCount val="4"/>
                <c:pt idx="1">
                  <c:v>7010.4</c:v>
                </c:pt>
              </c:numCache>
            </c:numRef>
          </c:val>
          <c:extLst>
            <c:ext xmlns:c16="http://schemas.microsoft.com/office/drawing/2014/chart" uri="{C3380CC4-5D6E-409C-BE32-E72D297353CC}">
              <c16:uniqueId val="{00000008-336B-4CB5-9422-00D265B86F90}"/>
            </c:ext>
          </c:extLst>
        </c:ser>
        <c:ser>
          <c:idx val="3"/>
          <c:order val="3"/>
          <c:tx>
            <c:strRef>
              <c:f>'calculatin 1'!$O$18:$O$19</c:f>
              <c:strCache>
                <c:ptCount val="1"/>
                <c:pt idx="0">
                  <c:v>Service</c:v>
                </c:pt>
              </c:strCache>
            </c:strRef>
          </c:tx>
          <c:spPr>
            <a:solidFill>
              <a:schemeClr val="accent4"/>
            </a:solidFill>
            <a:ln>
              <a:noFill/>
            </a:ln>
            <a:effectLst/>
          </c:spPr>
          <c:invertIfNegative val="0"/>
          <c:cat>
            <c:strRef>
              <c:f>'calculatin 1'!$K$20:$K$24</c:f>
              <c:strCache>
                <c:ptCount val="4"/>
                <c:pt idx="0">
                  <c:v>Coimbatore</c:v>
                </c:pt>
                <c:pt idx="1">
                  <c:v>Erode</c:v>
                </c:pt>
                <c:pt idx="2">
                  <c:v>Namakkal</c:v>
                </c:pt>
                <c:pt idx="3">
                  <c:v>Salem</c:v>
                </c:pt>
              </c:strCache>
            </c:strRef>
          </c:cat>
          <c:val>
            <c:numRef>
              <c:f>'calculatin 1'!$O$20:$O$24</c:f>
              <c:numCache>
                <c:formatCode>[$$-C09]#,##0</c:formatCode>
                <c:ptCount val="4"/>
                <c:pt idx="2">
                  <c:v>9252.5</c:v>
                </c:pt>
              </c:numCache>
            </c:numRef>
          </c:val>
          <c:extLst>
            <c:ext xmlns:c16="http://schemas.microsoft.com/office/drawing/2014/chart" uri="{C3380CC4-5D6E-409C-BE32-E72D297353CC}">
              <c16:uniqueId val="{00000009-336B-4CB5-9422-00D265B86F90}"/>
            </c:ext>
          </c:extLst>
        </c:ser>
        <c:dLbls>
          <c:showLegendKey val="0"/>
          <c:showVal val="0"/>
          <c:showCatName val="0"/>
          <c:showSerName val="0"/>
          <c:showPercent val="0"/>
          <c:showBubbleSize val="0"/>
        </c:dLbls>
        <c:gapWidth val="182"/>
        <c:axId val="1401641904"/>
        <c:axId val="1405812464"/>
      </c:barChart>
      <c:catAx>
        <c:axId val="140164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812464"/>
        <c:crosses val="autoZero"/>
        <c:auto val="1"/>
        <c:lblAlgn val="ctr"/>
        <c:lblOffset val="100"/>
        <c:noMultiLvlLbl val="0"/>
      </c:catAx>
      <c:valAx>
        <c:axId val="1405812464"/>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6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1!PivotTable3</c:name>
    <c:fmtId val="10"/>
  </c:pivotSource>
  <c:chart>
    <c:title>
      <c:layout>
        <c:manualLayout>
          <c:xMode val="edge"/>
          <c:yMode val="edge"/>
          <c:x val="0.45083333333333336"/>
          <c:y val="0.147143422140725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'calculatin 1'!$B$11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DF-4CE1-8150-2A7486D085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DF-4CE1-8150-2A7486D085E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DF-4CE1-8150-2A7486D085E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8DF-4CE1-8150-2A7486D085E3}"/>
              </c:ext>
            </c:extLst>
          </c:dPt>
          <c:cat>
            <c:strRef>
              <c:f>'calculatin 1'!$A$12:$A$16</c:f>
              <c:strCache>
                <c:ptCount val="4"/>
                <c:pt idx="0">
                  <c:v>Accessories</c:v>
                </c:pt>
                <c:pt idx="1">
                  <c:v>Laptop</c:v>
                </c:pt>
                <c:pt idx="2">
                  <c:v>Mobile</c:v>
                </c:pt>
                <c:pt idx="3">
                  <c:v>Service</c:v>
                </c:pt>
              </c:strCache>
            </c:strRef>
          </c:cat>
          <c:val>
            <c:numRef>
              <c:f>'calculatin 1'!$B$12:$B$16</c:f>
              <c:numCache>
                <c:formatCode>[$$-C09]#,##0</c:formatCode>
                <c:ptCount val="4"/>
                <c:pt idx="0">
                  <c:v>960000</c:v>
                </c:pt>
                <c:pt idx="1">
                  <c:v>978000</c:v>
                </c:pt>
                <c:pt idx="2">
                  <c:v>967000</c:v>
                </c:pt>
                <c:pt idx="3">
                  <c:v>949000</c:v>
                </c:pt>
              </c:numCache>
            </c:numRef>
          </c:val>
          <c:extLst>
            <c:ext xmlns:c16="http://schemas.microsoft.com/office/drawing/2014/chart" uri="{C3380CC4-5D6E-409C-BE32-E72D297353CC}">
              <c16:uniqueId val="{00000008-38DF-4CE1-8150-2A7486D085E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653414342315485"/>
          <c:y val="0.27390673948014554"/>
          <c:w val="0.2052674944294384"/>
          <c:h val="0.58571829226991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60000"/>
              <a:lumOff val="40000"/>
            </a:schemeClr>
          </a:solidFill>
          <a:ln>
            <a:solidFill>
              <a:schemeClr val="tx1">
                <a:lumMod val="50000"/>
                <a:lumOff val="5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'calculatin 1'!$B$3</c:f>
              <c:strCache>
                <c:ptCount val="1"/>
                <c:pt idx="0">
                  <c:v>Total</c:v>
                </c:pt>
              </c:strCache>
            </c:strRef>
          </c:tx>
          <c:spPr>
            <a:solidFill>
              <a:schemeClr val="accent2">
                <a:lumMod val="60000"/>
                <a:lumOff val="40000"/>
              </a:schemeClr>
            </a:solidFill>
            <a:ln>
              <a:solidFill>
                <a:schemeClr val="tx1">
                  <a:lumMod val="50000"/>
                  <a:lumOff val="50000"/>
                </a:schemeClr>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'calculatin 1'!$A$4:$A$8</c:f>
              <c:strCache>
                <c:ptCount val="4"/>
                <c:pt idx="0">
                  <c:v>Coimbatore</c:v>
                </c:pt>
                <c:pt idx="1">
                  <c:v>Erode</c:v>
                </c:pt>
                <c:pt idx="2">
                  <c:v>Namakkal</c:v>
                </c:pt>
                <c:pt idx="3">
                  <c:v>Salem</c:v>
                </c:pt>
              </c:strCache>
            </c:strRef>
          </c:cat>
          <c:val>
            <c:numRef>
              <c:f>'calculatin 1'!$B$4:$B$8</c:f>
              <c:numCache>
                <c:formatCode>[$$-C09]#,##0</c:formatCode>
                <c:ptCount val="4"/>
                <c:pt idx="0">
                  <c:v>960000</c:v>
                </c:pt>
                <c:pt idx="1">
                  <c:v>967000</c:v>
                </c:pt>
                <c:pt idx="2">
                  <c:v>949000</c:v>
                </c:pt>
                <c:pt idx="3">
                  <c:v>978000</c:v>
                </c:pt>
              </c:numCache>
            </c:numRef>
          </c:val>
          <c:extLst>
            <c:ext xmlns:c16="http://schemas.microsoft.com/office/drawing/2014/chart" uri="{C3380CC4-5D6E-409C-BE32-E72D297353CC}">
              <c16:uniqueId val="{00000000-5E93-473B-A0FD-0C8D3C312218}"/>
            </c:ext>
          </c:extLst>
        </c:ser>
        <c:dLbls>
          <c:showLegendKey val="0"/>
          <c:showVal val="0"/>
          <c:showCatName val="0"/>
          <c:showSerName val="0"/>
          <c:showPercent val="0"/>
          <c:showBubbleSize val="0"/>
        </c:dLbls>
        <c:gapWidth val="219"/>
        <c:overlap val="-27"/>
        <c:axId val="1432346704"/>
        <c:axId val="1199393520"/>
      </c:barChart>
      <c:catAx>
        <c:axId val="1432346704"/>
        <c:scaling>
          <c:orientation val="minMax"/>
        </c:scaling>
        <c:delete val="0"/>
        <c:axPos val="b"/>
        <c:numFmt formatCode="General" sourceLinked="1"/>
        <c:majorTickMark val="none"/>
        <c:minorTickMark val="none"/>
        <c:tickLblPos val="nextTo"/>
        <c:spPr>
          <a:solidFill>
            <a:schemeClr val="tx2">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393520"/>
        <c:crosses val="autoZero"/>
        <c:auto val="1"/>
        <c:lblAlgn val="ctr"/>
        <c:lblOffset val="100"/>
        <c:noMultiLvlLbl val="0"/>
      </c:catAx>
      <c:valAx>
        <c:axId val="1199393520"/>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solidFill>
            <a:schemeClr val="tx2">
              <a:lumMod val="10000"/>
              <a:lumOff val="9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46704"/>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R.xlsx]calculatin 1!PivotTable4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'calculatin 1'!$L$18:$L$19</c:f>
              <c:strCache>
                <c:ptCount val="1"/>
                <c:pt idx="0">
                  <c:v>Accessories</c:v>
                </c:pt>
              </c:strCache>
            </c:strRef>
          </c:tx>
          <c:spPr>
            <a:solidFill>
              <a:schemeClr val="accent1"/>
            </a:solidFill>
            <a:ln>
              <a:noFill/>
            </a:ln>
            <a:effectLst/>
          </c:spPr>
          <c:invertIfNegative val="0"/>
          <c:cat>
            <c:strRef>
              <c:f>'calculatin 1'!$K$20:$K$24</c:f>
              <c:strCache>
                <c:ptCount val="4"/>
                <c:pt idx="0">
                  <c:v>Coimbatore</c:v>
                </c:pt>
                <c:pt idx="1">
                  <c:v>Erode</c:v>
                </c:pt>
                <c:pt idx="2">
                  <c:v>Namakkal</c:v>
                </c:pt>
                <c:pt idx="3">
                  <c:v>Salem</c:v>
                </c:pt>
              </c:strCache>
            </c:strRef>
          </c:cat>
          <c:val>
            <c:numRef>
              <c:f>'calculatin 1'!$L$20:$L$24</c:f>
              <c:numCache>
                <c:formatCode>[$$-C09]#,##0</c:formatCode>
                <c:ptCount val="4"/>
                <c:pt idx="0">
                  <c:v>8159.3</c:v>
                </c:pt>
              </c:numCache>
            </c:numRef>
          </c:val>
          <c:extLst>
            <c:ext xmlns:c16="http://schemas.microsoft.com/office/drawing/2014/chart" uri="{C3380CC4-5D6E-409C-BE32-E72D297353CC}">
              <c16:uniqueId val="{00000000-FC01-4A50-A177-752453710777}"/>
            </c:ext>
          </c:extLst>
        </c:ser>
        <c:ser>
          <c:idx val="1"/>
          <c:order val="1"/>
          <c:tx>
            <c:strRef>
              <c:f>'calculatin 1'!$M$18:$M$19</c:f>
              <c:strCache>
                <c:ptCount val="1"/>
                <c:pt idx="0">
                  <c:v>Laptop</c:v>
                </c:pt>
              </c:strCache>
            </c:strRef>
          </c:tx>
          <c:spPr>
            <a:solidFill>
              <a:schemeClr val="accent2"/>
            </a:solidFill>
            <a:ln>
              <a:noFill/>
            </a:ln>
            <a:effectLst/>
          </c:spPr>
          <c:invertIfNegative val="0"/>
          <c:cat>
            <c:strRef>
              <c:f>'calculatin 1'!$K$20:$K$24</c:f>
              <c:strCache>
                <c:ptCount val="4"/>
                <c:pt idx="0">
                  <c:v>Coimbatore</c:v>
                </c:pt>
                <c:pt idx="1">
                  <c:v>Erode</c:v>
                </c:pt>
                <c:pt idx="2">
                  <c:v>Namakkal</c:v>
                </c:pt>
                <c:pt idx="3">
                  <c:v>Salem</c:v>
                </c:pt>
              </c:strCache>
            </c:strRef>
          </c:cat>
          <c:val>
            <c:numRef>
              <c:f>'calculatin 1'!$M$20:$M$24</c:f>
              <c:numCache>
                <c:formatCode>[$$-C09]#,##0</c:formatCode>
                <c:ptCount val="4"/>
                <c:pt idx="3">
                  <c:v>5868</c:v>
                </c:pt>
              </c:numCache>
            </c:numRef>
          </c:val>
          <c:extLst>
            <c:ext xmlns:c16="http://schemas.microsoft.com/office/drawing/2014/chart" uri="{C3380CC4-5D6E-409C-BE32-E72D297353CC}">
              <c16:uniqueId val="{00000008-FC01-4A50-A177-752453710777}"/>
            </c:ext>
          </c:extLst>
        </c:ser>
        <c:ser>
          <c:idx val="2"/>
          <c:order val="2"/>
          <c:tx>
            <c:strRef>
              <c:f>'calculatin 1'!$N$18:$N$19</c:f>
              <c:strCache>
                <c:ptCount val="1"/>
                <c:pt idx="0">
                  <c:v>Mobile</c:v>
                </c:pt>
              </c:strCache>
            </c:strRef>
          </c:tx>
          <c:spPr>
            <a:solidFill>
              <a:schemeClr val="accent3"/>
            </a:solidFill>
            <a:ln>
              <a:noFill/>
            </a:ln>
            <a:effectLst/>
          </c:spPr>
          <c:invertIfNegative val="0"/>
          <c:cat>
            <c:strRef>
              <c:f>'calculatin 1'!$K$20:$K$24</c:f>
              <c:strCache>
                <c:ptCount val="4"/>
                <c:pt idx="0">
                  <c:v>Coimbatore</c:v>
                </c:pt>
                <c:pt idx="1">
                  <c:v>Erode</c:v>
                </c:pt>
                <c:pt idx="2">
                  <c:v>Namakkal</c:v>
                </c:pt>
                <c:pt idx="3">
                  <c:v>Salem</c:v>
                </c:pt>
              </c:strCache>
            </c:strRef>
          </c:cat>
          <c:val>
            <c:numRef>
              <c:f>'calculatin 1'!$N$20:$N$24</c:f>
              <c:numCache>
                <c:formatCode>[$$-C09]#,##0</c:formatCode>
                <c:ptCount val="4"/>
                <c:pt idx="1">
                  <c:v>7010.4</c:v>
                </c:pt>
              </c:numCache>
            </c:numRef>
          </c:val>
          <c:extLst>
            <c:ext xmlns:c16="http://schemas.microsoft.com/office/drawing/2014/chart" uri="{C3380CC4-5D6E-409C-BE32-E72D297353CC}">
              <c16:uniqueId val="{00000009-FC01-4A50-A177-752453710777}"/>
            </c:ext>
          </c:extLst>
        </c:ser>
        <c:ser>
          <c:idx val="3"/>
          <c:order val="3"/>
          <c:tx>
            <c:strRef>
              <c:f>'calculatin 1'!$O$18:$O$19</c:f>
              <c:strCache>
                <c:ptCount val="1"/>
                <c:pt idx="0">
                  <c:v>Service</c:v>
                </c:pt>
              </c:strCache>
            </c:strRef>
          </c:tx>
          <c:spPr>
            <a:solidFill>
              <a:schemeClr val="accent4"/>
            </a:solidFill>
            <a:ln>
              <a:noFill/>
            </a:ln>
            <a:effectLst/>
          </c:spPr>
          <c:invertIfNegative val="0"/>
          <c:cat>
            <c:strRef>
              <c:f>'calculatin 1'!$K$20:$K$24</c:f>
              <c:strCache>
                <c:ptCount val="4"/>
                <c:pt idx="0">
                  <c:v>Coimbatore</c:v>
                </c:pt>
                <c:pt idx="1">
                  <c:v>Erode</c:v>
                </c:pt>
                <c:pt idx="2">
                  <c:v>Namakkal</c:v>
                </c:pt>
                <c:pt idx="3">
                  <c:v>Salem</c:v>
                </c:pt>
              </c:strCache>
            </c:strRef>
          </c:cat>
          <c:val>
            <c:numRef>
              <c:f>'calculatin 1'!$O$20:$O$24</c:f>
              <c:numCache>
                <c:formatCode>[$$-C09]#,##0</c:formatCode>
                <c:ptCount val="4"/>
                <c:pt idx="2">
                  <c:v>9252.5</c:v>
                </c:pt>
              </c:numCache>
            </c:numRef>
          </c:val>
          <c:extLst>
            <c:ext xmlns:c16="http://schemas.microsoft.com/office/drawing/2014/chart" uri="{C3380CC4-5D6E-409C-BE32-E72D297353CC}">
              <c16:uniqueId val="{0000000A-FC01-4A50-A177-752453710777}"/>
            </c:ext>
          </c:extLst>
        </c:ser>
        <c:dLbls>
          <c:showLegendKey val="0"/>
          <c:showVal val="0"/>
          <c:showCatName val="0"/>
          <c:showSerName val="0"/>
          <c:showPercent val="0"/>
          <c:showBubbleSize val="0"/>
        </c:dLbls>
        <c:gapWidth val="182"/>
        <c:axId val="1401641904"/>
        <c:axId val="1405812464"/>
      </c:barChart>
      <c:catAx>
        <c:axId val="140164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812464"/>
        <c:crosses val="autoZero"/>
        <c:auto val="1"/>
        <c:lblAlgn val="ctr"/>
        <c:lblOffset val="100"/>
        <c:noMultiLvlLbl val="0"/>
      </c:catAx>
      <c:valAx>
        <c:axId val="1405812464"/>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6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4.emf"/><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16</xdr:row>
      <xdr:rowOff>114300</xdr:rowOff>
    </xdr:to>
    <xdr:graphicFrame macro="">
      <xdr:nvGraphicFramePr>
        <xdr:cNvPr id="2" name="Chart 1">
          <a:extLst>
            <a:ext uri="{FF2B5EF4-FFF2-40B4-BE49-F238E27FC236}">
              <a16:creationId xmlns:a16="http://schemas.microsoft.com/office/drawing/2014/main" id="{AEC28A4C-66F5-1DCD-197B-69B459611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0</xdr:row>
      <xdr:rowOff>76200</xdr:rowOff>
    </xdr:from>
    <xdr:to>
      <xdr:col>10</xdr:col>
      <xdr:colOff>358140</xdr:colOff>
      <xdr:row>16</xdr:row>
      <xdr:rowOff>15240</xdr:rowOff>
    </xdr:to>
    <xdr:graphicFrame macro="">
      <xdr:nvGraphicFramePr>
        <xdr:cNvPr id="2" name="Chart 1">
          <a:extLst>
            <a:ext uri="{FF2B5EF4-FFF2-40B4-BE49-F238E27FC236}">
              <a16:creationId xmlns:a16="http://schemas.microsoft.com/office/drawing/2014/main" id="{18A50D3F-7AF4-34C2-521E-3C9F189B1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1</xdr:row>
      <xdr:rowOff>7620</xdr:rowOff>
    </xdr:from>
    <xdr:to>
      <xdr:col>11</xdr:col>
      <xdr:colOff>1196340</xdr:colOff>
      <xdr:row>15</xdr:row>
      <xdr:rowOff>20955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B870401-8E0E-EDDA-380C-19732FCC49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7908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712470</xdr:colOff>
      <xdr:row>16</xdr:row>
      <xdr:rowOff>114300</xdr:rowOff>
    </xdr:from>
    <xdr:to>
      <xdr:col>6</xdr:col>
      <xdr:colOff>274320</xdr:colOff>
      <xdr:row>27</xdr:row>
      <xdr:rowOff>76200</xdr:rowOff>
    </xdr:to>
    <xdr:graphicFrame macro="">
      <xdr:nvGraphicFramePr>
        <xdr:cNvPr id="4" name="Chart 3">
          <a:extLst>
            <a:ext uri="{FF2B5EF4-FFF2-40B4-BE49-F238E27FC236}">
              <a16:creationId xmlns:a16="http://schemas.microsoft.com/office/drawing/2014/main" id="{8D862F92-F6FD-95C5-665C-920D6A2C8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464820</xdr:colOff>
      <xdr:row>16</xdr:row>
      <xdr:rowOff>53340</xdr:rowOff>
    </xdr:from>
    <xdr:to>
      <xdr:col>9</xdr:col>
      <xdr:colOff>281940</xdr:colOff>
      <xdr:row>28</xdr:row>
      <xdr:rowOff>28575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6F1600E-0213-E899-B132-C3557CEA2D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90160" y="2857500"/>
              <a:ext cx="1828800" cy="2078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510540</xdr:colOff>
      <xdr:row>3</xdr:row>
      <xdr:rowOff>45720</xdr:rowOff>
    </xdr:from>
    <xdr:to>
      <xdr:col>17</xdr:col>
      <xdr:colOff>586740</xdr:colOff>
      <xdr:row>16</xdr:row>
      <xdr:rowOff>30480</xdr:rowOff>
    </xdr:to>
    <xdr:graphicFrame macro="">
      <xdr:nvGraphicFramePr>
        <xdr:cNvPr id="7" name="Chart 6">
          <a:extLst>
            <a:ext uri="{FF2B5EF4-FFF2-40B4-BE49-F238E27FC236}">
              <a16:creationId xmlns:a16="http://schemas.microsoft.com/office/drawing/2014/main" id="{E0050977-2DD3-95E9-0710-E856CF4C6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754380</xdr:colOff>
      <xdr:row>2</xdr:row>
      <xdr:rowOff>68580</xdr:rowOff>
    </xdr:from>
    <xdr:to>
      <xdr:col>19</xdr:col>
      <xdr:colOff>701040</xdr:colOff>
      <xdr:row>16</xdr:row>
      <xdr:rowOff>81915</xdr:rowOff>
    </xdr:to>
    <mc:AlternateContent xmlns:mc="http://schemas.openxmlformats.org/markup-compatibility/2006" xmlns:a14="http://schemas.microsoft.com/office/drawing/2010/main">
      <mc:Choice Requires="a14">
        <xdr:graphicFrame macro="">
          <xdr:nvGraphicFramePr>
            <xdr:cNvPr id="8" name="Sales">
              <a:extLst>
                <a:ext uri="{FF2B5EF4-FFF2-40B4-BE49-F238E27FC236}">
                  <a16:creationId xmlns:a16="http://schemas.microsoft.com/office/drawing/2014/main" id="{ABC3E919-20F5-AD43-FA52-ECD75FAFD249}"/>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388364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76200</xdr:rowOff>
    </xdr:from>
    <xdr:to>
      <xdr:col>22</xdr:col>
      <xdr:colOff>502920</xdr:colOff>
      <xdr:row>4</xdr:row>
      <xdr:rowOff>99060</xdr:rowOff>
    </xdr:to>
    <xdr:sp macro="" textlink="">
      <xdr:nvSpPr>
        <xdr:cNvPr id="5" name="Rectangle 4">
          <a:extLst>
            <a:ext uri="{FF2B5EF4-FFF2-40B4-BE49-F238E27FC236}">
              <a16:creationId xmlns:a16="http://schemas.microsoft.com/office/drawing/2014/main" id="{F5BA7E49-C93A-C560-F2FD-062BB02FCC32}"/>
            </a:ext>
          </a:extLst>
        </xdr:cNvPr>
        <xdr:cNvSpPr/>
      </xdr:nvSpPr>
      <xdr:spPr>
        <a:xfrm>
          <a:off x="76200" y="76200"/>
          <a:ext cx="15179040" cy="7239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0</xdr:row>
      <xdr:rowOff>134471</xdr:rowOff>
    </xdr:from>
    <xdr:to>
      <xdr:col>18</xdr:col>
      <xdr:colOff>257735</xdr:colOff>
      <xdr:row>4</xdr:row>
      <xdr:rowOff>33618</xdr:rowOff>
    </xdr:to>
    <xdr:sp macro="" textlink="">
      <xdr:nvSpPr>
        <xdr:cNvPr id="6" name="TextBox 5">
          <a:extLst>
            <a:ext uri="{FF2B5EF4-FFF2-40B4-BE49-F238E27FC236}">
              <a16:creationId xmlns:a16="http://schemas.microsoft.com/office/drawing/2014/main" id="{706614B6-1211-38D4-DD9D-B5A33E556E69}"/>
            </a:ext>
          </a:extLst>
        </xdr:cNvPr>
        <xdr:cNvSpPr txBox="1"/>
      </xdr:nvSpPr>
      <xdr:spPr>
        <a:xfrm>
          <a:off x="1573306" y="134471"/>
          <a:ext cx="10786782" cy="616323"/>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3200"/>
            <a:t>               </a:t>
          </a:r>
          <a:r>
            <a:rPr lang="en-IN" sz="3200">
              <a:solidFill>
                <a:schemeClr val="bg1"/>
              </a:solidFill>
            </a:rPr>
            <a:t>SALES PERFORMANCE OF DAY 2 SESSION</a:t>
          </a:r>
        </a:p>
      </xdr:txBody>
    </xdr:sp>
    <xdr:clientData/>
  </xdr:twoCellAnchor>
  <xdr:twoCellAnchor>
    <xdr:from>
      <xdr:col>2</xdr:col>
      <xdr:colOff>385281</xdr:colOff>
      <xdr:row>9</xdr:row>
      <xdr:rowOff>119865</xdr:rowOff>
    </xdr:from>
    <xdr:to>
      <xdr:col>5</xdr:col>
      <xdr:colOff>94180</xdr:colOff>
      <xdr:row>11</xdr:row>
      <xdr:rowOff>119865</xdr:rowOff>
    </xdr:to>
    <xdr:sp macro="" textlink="">
      <xdr:nvSpPr>
        <xdr:cNvPr id="17" name="TextBox 16">
          <a:extLst>
            <a:ext uri="{FF2B5EF4-FFF2-40B4-BE49-F238E27FC236}">
              <a16:creationId xmlns:a16="http://schemas.microsoft.com/office/drawing/2014/main" id="{4F7FC171-7874-7E52-BF60-BCA1C77E4D33}"/>
            </a:ext>
          </a:extLst>
        </xdr:cNvPr>
        <xdr:cNvSpPr txBox="1"/>
      </xdr:nvSpPr>
      <xdr:spPr>
        <a:xfrm>
          <a:off x="1720921" y="1660989"/>
          <a:ext cx="1712360" cy="342472"/>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a:t>
          </a:r>
          <a:r>
            <a:rPr lang="en-IN" sz="2000" baseline="0"/>
            <a:t>  SALES</a:t>
          </a:r>
          <a:endParaRPr lang="en-IN" sz="2000"/>
        </a:p>
      </xdr:txBody>
    </xdr:sp>
    <xdr:clientData/>
  </xdr:twoCellAnchor>
  <xdr:twoCellAnchor>
    <xdr:from>
      <xdr:col>7</xdr:col>
      <xdr:colOff>145550</xdr:colOff>
      <xdr:row>9</xdr:row>
      <xdr:rowOff>51370</xdr:rowOff>
    </xdr:from>
    <xdr:to>
      <xdr:col>9</xdr:col>
      <xdr:colOff>616449</xdr:colOff>
      <xdr:row>11</xdr:row>
      <xdr:rowOff>154112</xdr:rowOff>
    </xdr:to>
    <xdr:sp macro="" textlink="">
      <xdr:nvSpPr>
        <xdr:cNvPr id="19" name="TextBox 18">
          <a:extLst>
            <a:ext uri="{FF2B5EF4-FFF2-40B4-BE49-F238E27FC236}">
              <a16:creationId xmlns:a16="http://schemas.microsoft.com/office/drawing/2014/main" id="{D930CDA5-DCFB-8B87-0090-76D3A7548D85}"/>
            </a:ext>
          </a:extLst>
        </xdr:cNvPr>
        <xdr:cNvSpPr txBox="1"/>
      </xdr:nvSpPr>
      <xdr:spPr>
        <a:xfrm>
          <a:off x="4820292" y="1592494"/>
          <a:ext cx="1806539" cy="445214"/>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 PROFIT</a:t>
          </a:r>
        </a:p>
      </xdr:txBody>
    </xdr:sp>
    <xdr:clientData/>
  </xdr:twoCellAnchor>
  <xdr:twoCellAnchor>
    <xdr:from>
      <xdr:col>11</xdr:col>
      <xdr:colOff>590765</xdr:colOff>
      <xdr:row>9</xdr:row>
      <xdr:rowOff>94179</xdr:rowOff>
    </xdr:from>
    <xdr:to>
      <xdr:col>14</xdr:col>
      <xdr:colOff>599326</xdr:colOff>
      <xdr:row>11</xdr:row>
      <xdr:rowOff>136988</xdr:rowOff>
    </xdr:to>
    <xdr:sp macro="" textlink="">
      <xdr:nvSpPr>
        <xdr:cNvPr id="20" name="TextBox 19">
          <a:extLst>
            <a:ext uri="{FF2B5EF4-FFF2-40B4-BE49-F238E27FC236}">
              <a16:creationId xmlns:a16="http://schemas.microsoft.com/office/drawing/2014/main" id="{F47518B8-E127-8040-185A-47BDF704C8EA}"/>
            </a:ext>
          </a:extLst>
        </xdr:cNvPr>
        <xdr:cNvSpPr txBox="1"/>
      </xdr:nvSpPr>
      <xdr:spPr>
        <a:xfrm>
          <a:off x="7936787" y="1635303"/>
          <a:ext cx="2012022" cy="385281"/>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  ORDER</a:t>
          </a:r>
        </a:p>
      </xdr:txBody>
    </xdr:sp>
    <xdr:clientData/>
  </xdr:twoCellAnchor>
  <xdr:twoCellAnchor>
    <xdr:from>
      <xdr:col>16</xdr:col>
      <xdr:colOff>488022</xdr:colOff>
      <xdr:row>9</xdr:row>
      <xdr:rowOff>128427</xdr:rowOff>
    </xdr:from>
    <xdr:to>
      <xdr:col>19</xdr:col>
      <xdr:colOff>590764</xdr:colOff>
      <xdr:row>12</xdr:row>
      <xdr:rowOff>0</xdr:rowOff>
    </xdr:to>
    <xdr:sp macro="" textlink="">
      <xdr:nvSpPr>
        <xdr:cNvPr id="21" name="TextBox 20">
          <a:extLst>
            <a:ext uri="{FF2B5EF4-FFF2-40B4-BE49-F238E27FC236}">
              <a16:creationId xmlns:a16="http://schemas.microsoft.com/office/drawing/2014/main" id="{BDE9EFE0-ACFF-AE1A-93C7-B98939076D90}"/>
            </a:ext>
          </a:extLst>
        </xdr:cNvPr>
        <xdr:cNvSpPr txBox="1"/>
      </xdr:nvSpPr>
      <xdr:spPr>
        <a:xfrm>
          <a:off x="11173146" y="1669551"/>
          <a:ext cx="2106202" cy="385280"/>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a:t>
          </a:r>
        </a:p>
      </xdr:txBody>
    </xdr:sp>
    <xdr:clientData/>
  </xdr:twoCellAnchor>
  <xdr:twoCellAnchor>
    <xdr:from>
      <xdr:col>1</xdr:col>
      <xdr:colOff>22088</xdr:colOff>
      <xdr:row>21</xdr:row>
      <xdr:rowOff>11043</xdr:rowOff>
    </xdr:from>
    <xdr:to>
      <xdr:col>7</xdr:col>
      <xdr:colOff>479933</xdr:colOff>
      <xdr:row>39</xdr:row>
      <xdr:rowOff>55217</xdr:rowOff>
    </xdr:to>
    <xdr:graphicFrame macro="">
      <xdr:nvGraphicFramePr>
        <xdr:cNvPr id="22" name="Chart 21">
          <a:extLst>
            <a:ext uri="{FF2B5EF4-FFF2-40B4-BE49-F238E27FC236}">
              <a16:creationId xmlns:a16="http://schemas.microsoft.com/office/drawing/2014/main" id="{FD4CA037-31E0-4FAF-9B64-435A7945C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44174</xdr:colOff>
      <xdr:row>21</xdr:row>
      <xdr:rowOff>25685</xdr:rowOff>
    </xdr:from>
    <xdr:to>
      <xdr:col>14</xdr:col>
      <xdr:colOff>25686</xdr:colOff>
      <xdr:row>38</xdr:row>
      <xdr:rowOff>165652</xdr:rowOff>
    </xdr:to>
    <xdr:graphicFrame macro="">
      <xdr:nvGraphicFramePr>
        <xdr:cNvPr id="23" name="Chart 22">
          <a:extLst>
            <a:ext uri="{FF2B5EF4-FFF2-40B4-BE49-F238E27FC236}">
              <a16:creationId xmlns:a16="http://schemas.microsoft.com/office/drawing/2014/main" id="{3C5252DE-18C4-4985-80AD-73F50709C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214045</xdr:colOff>
      <xdr:row>20</xdr:row>
      <xdr:rowOff>136988</xdr:rowOff>
    </xdr:from>
    <xdr:to>
      <xdr:col>19</xdr:col>
      <xdr:colOff>640522</xdr:colOff>
      <xdr:row>38</xdr:row>
      <xdr:rowOff>33129</xdr:rowOff>
    </xdr:to>
    <xdr:graphicFrame macro="">
      <xdr:nvGraphicFramePr>
        <xdr:cNvPr id="24" name="Chart 23">
          <a:extLst>
            <a:ext uri="{FF2B5EF4-FFF2-40B4-BE49-F238E27FC236}">
              <a16:creationId xmlns:a16="http://schemas.microsoft.com/office/drawing/2014/main" id="{79116709-CAD8-421C-8C78-CD5224F61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36761</xdr:colOff>
      <xdr:row>9</xdr:row>
      <xdr:rowOff>94270</xdr:rowOff>
    </xdr:from>
    <xdr:to>
      <xdr:col>22</xdr:col>
      <xdr:colOff>535752</xdr:colOff>
      <xdr:row>17</xdr:row>
      <xdr:rowOff>528722</xdr:rowOff>
    </xdr:to>
    <mc:AlternateContent xmlns:mc="http://schemas.openxmlformats.org/markup-compatibility/2006">
      <mc:Choice xmlns:a14="http://schemas.microsoft.com/office/drawing/2010/main" Requires="a14">
        <xdr:graphicFrame macro="">
          <xdr:nvGraphicFramePr>
            <xdr:cNvPr id="25" name="Category 1">
              <a:extLst>
                <a:ext uri="{FF2B5EF4-FFF2-40B4-BE49-F238E27FC236}">
                  <a16:creationId xmlns:a16="http://schemas.microsoft.com/office/drawing/2014/main" id="{0B8EB8D1-BC5D-0C78-C228-D278590607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509804" y="1684531"/>
              <a:ext cx="1846296" cy="1848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68020</xdr:colOff>
      <xdr:row>21</xdr:row>
      <xdr:rowOff>52739</xdr:rowOff>
    </xdr:from>
    <xdr:to>
      <xdr:col>22</xdr:col>
      <xdr:colOff>567012</xdr:colOff>
      <xdr:row>30</xdr:row>
      <xdr:rowOff>150515</xdr:rowOff>
    </xdr:to>
    <mc:AlternateContent xmlns:mc="http://schemas.openxmlformats.org/markup-compatibility/2006">
      <mc:Choice xmlns:a14="http://schemas.microsoft.com/office/drawing/2010/main" Requires="a14">
        <xdr:graphicFrame macro="">
          <xdr:nvGraphicFramePr>
            <xdr:cNvPr id="26" name="Region 1">
              <a:extLst>
                <a:ext uri="{FF2B5EF4-FFF2-40B4-BE49-F238E27FC236}">
                  <a16:creationId xmlns:a16="http://schemas.microsoft.com/office/drawing/2014/main" id="{46C53D65-A9D2-2AF9-BD43-9BA0514183D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541063" y="4149869"/>
              <a:ext cx="1846297" cy="1688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33772</xdr:colOff>
      <xdr:row>32</xdr:row>
      <xdr:rowOff>3426</xdr:rowOff>
    </xdr:from>
    <xdr:to>
      <xdr:col>22</xdr:col>
      <xdr:colOff>532763</xdr:colOff>
      <xdr:row>46</xdr:row>
      <xdr:rowOff>110435</xdr:rowOff>
    </xdr:to>
    <mc:AlternateContent xmlns:mc="http://schemas.openxmlformats.org/markup-compatibility/2006">
      <mc:Choice xmlns:a14="http://schemas.microsoft.com/office/drawing/2010/main" Requires="a14">
        <xdr:graphicFrame macro="">
          <xdr:nvGraphicFramePr>
            <xdr:cNvPr id="27" name="Sales 1">
              <a:extLst>
                <a:ext uri="{FF2B5EF4-FFF2-40B4-BE49-F238E27FC236}">
                  <a16:creationId xmlns:a16="http://schemas.microsoft.com/office/drawing/2014/main" id="{CAC5BEC6-A685-4636-7F86-60C15D787890}"/>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13506815" y="6044209"/>
              <a:ext cx="1846296" cy="258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490538</xdr:colOff>
      <xdr:row>0</xdr:row>
      <xdr:rowOff>0</xdr:rowOff>
    </xdr:from>
    <xdr:to>
      <xdr:col>24</xdr:col>
      <xdr:colOff>559594</xdr:colOff>
      <xdr:row>47</xdr:row>
      <xdr:rowOff>91440</xdr:rowOff>
    </xdr:to>
    <xdr:sp macro="" textlink="">
      <xdr:nvSpPr>
        <xdr:cNvPr id="2" name="Rectangle 1">
          <a:extLst>
            <a:ext uri="{FF2B5EF4-FFF2-40B4-BE49-F238E27FC236}">
              <a16:creationId xmlns:a16="http://schemas.microsoft.com/office/drawing/2014/main" id="{46FA4507-4E72-C901-5D3F-0AA5CEA701C6}"/>
            </a:ext>
          </a:extLst>
        </xdr:cNvPr>
        <xdr:cNvSpPr/>
      </xdr:nvSpPr>
      <xdr:spPr>
        <a:xfrm>
          <a:off x="490538" y="0"/>
          <a:ext cx="16071056" cy="848534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277431</xdr:colOff>
      <xdr:row>25</xdr:row>
      <xdr:rowOff>106102</xdr:rowOff>
    </xdr:from>
    <xdr:to>
      <xdr:col>8</xdr:col>
      <xdr:colOff>132175</xdr:colOff>
      <xdr:row>45</xdr:row>
      <xdr:rowOff>441</xdr:rowOff>
    </xdr:to>
    <xdr:graphicFrame macro="">
      <xdr:nvGraphicFramePr>
        <xdr:cNvPr id="3" name="Chart 2">
          <a:extLst>
            <a:ext uri="{FF2B5EF4-FFF2-40B4-BE49-F238E27FC236}">
              <a16:creationId xmlns:a16="http://schemas.microsoft.com/office/drawing/2014/main" id="{84F4F709-AE15-44CD-B845-FCD975EBB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25</xdr:row>
      <xdr:rowOff>135039</xdr:rowOff>
    </xdr:from>
    <xdr:to>
      <xdr:col>14</xdr:col>
      <xdr:colOff>290565</xdr:colOff>
      <xdr:row>45</xdr:row>
      <xdr:rowOff>13006</xdr:rowOff>
    </xdr:to>
    <xdr:graphicFrame macro="">
      <xdr:nvGraphicFramePr>
        <xdr:cNvPr id="4" name="Chart 3">
          <a:extLst>
            <a:ext uri="{FF2B5EF4-FFF2-40B4-BE49-F238E27FC236}">
              <a16:creationId xmlns:a16="http://schemas.microsoft.com/office/drawing/2014/main" id="{BCEBBEF8-362F-4E50-95DE-04BC246B5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500063</xdr:colOff>
      <xdr:row>25</xdr:row>
      <xdr:rowOff>107157</xdr:rowOff>
    </xdr:from>
    <xdr:to>
      <xdr:col>21</xdr:col>
      <xdr:colOff>238125</xdr:colOff>
      <xdr:row>44</xdr:row>
      <xdr:rowOff>174804</xdr:rowOff>
    </xdr:to>
    <xdr:graphicFrame macro="">
      <xdr:nvGraphicFramePr>
        <xdr:cNvPr id="5" name="Chart 4">
          <a:extLst>
            <a:ext uri="{FF2B5EF4-FFF2-40B4-BE49-F238E27FC236}">
              <a16:creationId xmlns:a16="http://schemas.microsoft.com/office/drawing/2014/main" id="{23735608-D629-4B8D-836E-8EE05011B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345838</xdr:colOff>
      <xdr:row>5</xdr:row>
      <xdr:rowOff>107156</xdr:rowOff>
    </xdr:from>
    <xdr:to>
      <xdr:col>24</xdr:col>
      <xdr:colOff>72227</xdr:colOff>
      <xdr:row>17</xdr:row>
      <xdr:rowOff>166687</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1EB2E049-9C39-4F54-A1EE-386D76F1D46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4347588" y="964406"/>
              <a:ext cx="1726639" cy="2116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365191</xdr:colOff>
      <xdr:row>19</xdr:row>
      <xdr:rowOff>23813</xdr:rowOff>
    </xdr:from>
    <xdr:to>
      <xdr:col>24</xdr:col>
      <xdr:colOff>91581</xdr:colOff>
      <xdr:row>29</xdr:row>
      <xdr:rowOff>69726</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1645ED04-5EE8-49A6-B43A-E169561E7EE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4366941" y="3281363"/>
              <a:ext cx="1726640" cy="1760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319036</xdr:colOff>
      <xdr:row>30</xdr:row>
      <xdr:rowOff>5516</xdr:rowOff>
    </xdr:from>
    <xdr:to>
      <xdr:col>24</xdr:col>
      <xdr:colOff>45425</xdr:colOff>
      <xdr:row>44</xdr:row>
      <xdr:rowOff>132625</xdr:rowOff>
    </xdr:to>
    <mc:AlternateContent xmlns:mc="http://schemas.openxmlformats.org/markup-compatibility/2006">
      <mc:Choice xmlns:a14="http://schemas.microsoft.com/office/drawing/2010/main" Requires="a14">
        <xdr:graphicFrame macro="">
          <xdr:nvGraphicFramePr>
            <xdr:cNvPr id="8" name="Sales 2">
              <a:extLst>
                <a:ext uri="{FF2B5EF4-FFF2-40B4-BE49-F238E27FC236}">
                  <a16:creationId xmlns:a16="http://schemas.microsoft.com/office/drawing/2014/main" id="{424AB07F-85B2-4BCB-A825-166B1B7F1441}"/>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dr:sp macro="" textlink="">
          <xdr:nvSpPr>
            <xdr:cNvPr id="0" name=""/>
            <xdr:cNvSpPr>
              <a:spLocks noTextEdit="1"/>
            </xdr:cNvSpPr>
          </xdr:nvSpPr>
          <xdr:spPr>
            <a:xfrm>
              <a:off x="14320786" y="5149016"/>
              <a:ext cx="1726639" cy="2527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0</xdr:row>
      <xdr:rowOff>99060</xdr:rowOff>
    </xdr:from>
    <xdr:to>
      <xdr:col>23</xdr:col>
      <xdr:colOff>521418</xdr:colOff>
      <xdr:row>4</xdr:row>
      <xdr:rowOff>114328</xdr:rowOff>
    </xdr:to>
    <xdr:sp macro="" textlink="">
      <xdr:nvSpPr>
        <xdr:cNvPr id="20" name="Rectangle 19">
          <a:extLst>
            <a:ext uri="{FF2B5EF4-FFF2-40B4-BE49-F238E27FC236}">
              <a16:creationId xmlns:a16="http://schemas.microsoft.com/office/drawing/2014/main" id="{395442A7-1E5F-4C98-B4B7-C0B9048FC667}"/>
            </a:ext>
          </a:extLst>
        </xdr:cNvPr>
        <xdr:cNvSpPr/>
      </xdr:nvSpPr>
      <xdr:spPr>
        <a:xfrm>
          <a:off x="609600" y="99060"/>
          <a:ext cx="15247068" cy="729643"/>
        </a:xfrm>
        <a:prstGeom prst="rect">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109054</xdr:colOff>
      <xdr:row>0</xdr:row>
      <xdr:rowOff>157331</xdr:rowOff>
    </xdr:from>
    <xdr:to>
      <xdr:col>19</xdr:col>
      <xdr:colOff>248624</xdr:colOff>
      <xdr:row>4</xdr:row>
      <xdr:rowOff>48886</xdr:rowOff>
    </xdr:to>
    <xdr:sp macro="" textlink="">
      <xdr:nvSpPr>
        <xdr:cNvPr id="21" name="TextBox 20">
          <a:extLst>
            <a:ext uri="{FF2B5EF4-FFF2-40B4-BE49-F238E27FC236}">
              <a16:creationId xmlns:a16="http://schemas.microsoft.com/office/drawing/2014/main" id="{9B64F29C-255F-4E16-8737-18107ECD167B}"/>
            </a:ext>
          </a:extLst>
        </xdr:cNvPr>
        <xdr:cNvSpPr txBox="1"/>
      </xdr:nvSpPr>
      <xdr:spPr>
        <a:xfrm>
          <a:off x="2109304" y="157331"/>
          <a:ext cx="10807570" cy="605930"/>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3200"/>
            <a:t>               </a:t>
          </a:r>
          <a:r>
            <a:rPr lang="en-IN" sz="3200">
              <a:solidFill>
                <a:schemeClr val="bg1"/>
              </a:solidFill>
            </a:rPr>
            <a:t>SALES PERFORMANCE OF DAY 2 SESSION</a:t>
          </a:r>
        </a:p>
      </xdr:txBody>
    </xdr:sp>
    <xdr:clientData/>
  </xdr:twoCellAnchor>
  <xdr:twoCellAnchor>
    <xdr:from>
      <xdr:col>3</xdr:col>
      <xdr:colOff>265735</xdr:colOff>
      <xdr:row>9</xdr:row>
      <xdr:rowOff>125642</xdr:rowOff>
    </xdr:from>
    <xdr:to>
      <xdr:col>5</xdr:col>
      <xdr:colOff>662091</xdr:colOff>
      <xdr:row>11</xdr:row>
      <xdr:rowOff>121846</xdr:rowOff>
    </xdr:to>
    <xdr:sp macro="" textlink="">
      <xdr:nvSpPr>
        <xdr:cNvPr id="22" name="TextBox 21">
          <a:extLst>
            <a:ext uri="{FF2B5EF4-FFF2-40B4-BE49-F238E27FC236}">
              <a16:creationId xmlns:a16="http://schemas.microsoft.com/office/drawing/2014/main" id="{8DE0B66D-FA52-4FA8-BED9-8DA59A4798EE}"/>
            </a:ext>
          </a:extLst>
        </xdr:cNvPr>
        <xdr:cNvSpPr txBox="1"/>
      </xdr:nvSpPr>
      <xdr:spPr>
        <a:xfrm>
          <a:off x="2265985" y="1732986"/>
          <a:ext cx="1729856" cy="353391"/>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a:t>
          </a:r>
          <a:r>
            <a:rPr lang="en-IN" sz="2000" baseline="0"/>
            <a:t>  SALES</a:t>
          </a:r>
          <a:endParaRPr lang="en-IN" sz="2000"/>
        </a:p>
      </xdr:txBody>
    </xdr:sp>
    <xdr:clientData/>
  </xdr:twoCellAnchor>
  <xdr:twoCellAnchor>
    <xdr:from>
      <xdr:col>8</xdr:col>
      <xdr:colOff>60515</xdr:colOff>
      <xdr:row>9</xdr:row>
      <xdr:rowOff>57147</xdr:rowOff>
    </xdr:from>
    <xdr:to>
      <xdr:col>10</xdr:col>
      <xdr:colOff>545219</xdr:colOff>
      <xdr:row>11</xdr:row>
      <xdr:rowOff>156093</xdr:rowOff>
    </xdr:to>
    <xdr:sp macro="" textlink="">
      <xdr:nvSpPr>
        <xdr:cNvPr id="23" name="TextBox 22">
          <a:extLst>
            <a:ext uri="{FF2B5EF4-FFF2-40B4-BE49-F238E27FC236}">
              <a16:creationId xmlns:a16="http://schemas.microsoft.com/office/drawing/2014/main" id="{97F5852A-FAC7-4659-90DE-5B5867D90584}"/>
            </a:ext>
          </a:extLst>
        </xdr:cNvPr>
        <xdr:cNvSpPr txBox="1"/>
      </xdr:nvSpPr>
      <xdr:spPr>
        <a:xfrm>
          <a:off x="5394515" y="1664491"/>
          <a:ext cx="1818204" cy="456133"/>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 PROFIT</a:t>
          </a:r>
        </a:p>
      </xdr:txBody>
    </xdr:sp>
    <xdr:clientData/>
  </xdr:twoCellAnchor>
  <xdr:twoCellAnchor>
    <xdr:from>
      <xdr:col>12</xdr:col>
      <xdr:colOff>390525</xdr:colOff>
      <xdr:row>9</xdr:row>
      <xdr:rowOff>99956</xdr:rowOff>
    </xdr:from>
    <xdr:to>
      <xdr:col>16</xdr:col>
      <xdr:colOff>171450</xdr:colOff>
      <xdr:row>11</xdr:row>
      <xdr:rowOff>138969</xdr:rowOff>
    </xdr:to>
    <xdr:sp macro="" textlink="">
      <xdr:nvSpPr>
        <xdr:cNvPr id="24" name="TextBox 23">
          <a:extLst>
            <a:ext uri="{FF2B5EF4-FFF2-40B4-BE49-F238E27FC236}">
              <a16:creationId xmlns:a16="http://schemas.microsoft.com/office/drawing/2014/main" id="{9CA3636A-0FDA-4AE3-A77A-E4584A22178A}"/>
            </a:ext>
          </a:extLst>
        </xdr:cNvPr>
        <xdr:cNvSpPr txBox="1"/>
      </xdr:nvSpPr>
      <xdr:spPr>
        <a:xfrm>
          <a:off x="8391525" y="1643006"/>
          <a:ext cx="2447925" cy="381913"/>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  CUSTOMER</a:t>
          </a:r>
        </a:p>
      </xdr:txBody>
    </xdr:sp>
    <xdr:clientData/>
  </xdr:twoCellAnchor>
  <xdr:twoCellAnchor>
    <xdr:from>
      <xdr:col>17</xdr:col>
      <xdr:colOff>465107</xdr:colOff>
      <xdr:row>9</xdr:row>
      <xdr:rowOff>134204</xdr:rowOff>
    </xdr:from>
    <xdr:to>
      <xdr:col>20</xdr:col>
      <xdr:colOff>588555</xdr:colOff>
      <xdr:row>12</xdr:row>
      <xdr:rowOff>83</xdr:rowOff>
    </xdr:to>
    <xdr:sp macro="" textlink="">
      <xdr:nvSpPr>
        <xdr:cNvPr id="25" name="TextBox 24">
          <a:extLst>
            <a:ext uri="{FF2B5EF4-FFF2-40B4-BE49-F238E27FC236}">
              <a16:creationId xmlns:a16="http://schemas.microsoft.com/office/drawing/2014/main" id="{2869A173-CB81-4B0E-B2F2-AF1FB0496FB6}"/>
            </a:ext>
          </a:extLst>
        </xdr:cNvPr>
        <xdr:cNvSpPr txBox="1"/>
      </xdr:nvSpPr>
      <xdr:spPr>
        <a:xfrm>
          <a:off x="11799857" y="1741548"/>
          <a:ext cx="2123698" cy="401660"/>
        </a:xfrm>
        <a:prstGeom prst="rect">
          <a:avLst/>
        </a:prstGeom>
        <a:solidFill>
          <a:schemeClr val="accent1">
            <a:lumMod val="40000"/>
            <a:lumOff val="6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2000"/>
            <a:t>TOTAL ORDER</a:t>
          </a:r>
        </a:p>
      </xdr:txBody>
    </xdr:sp>
    <xdr:clientData/>
  </xdr:twoCellAnchor>
  <xdr:twoCellAnchor editAs="oneCell">
    <xdr:from>
      <xdr:col>2</xdr:col>
      <xdr:colOff>452438</xdr:colOff>
      <xdr:row>14</xdr:row>
      <xdr:rowOff>161925</xdr:rowOff>
    </xdr:from>
    <xdr:to>
      <xdr:col>6</xdr:col>
      <xdr:colOff>460058</xdr:colOff>
      <xdr:row>19</xdr:row>
      <xdr:rowOff>67152</xdr:rowOff>
    </xdr:to>
    <xdr:pic>
      <xdr:nvPicPr>
        <xdr:cNvPr id="27" name="Picture 26">
          <a:extLst>
            <a:ext uri="{FF2B5EF4-FFF2-40B4-BE49-F238E27FC236}">
              <a16:creationId xmlns:a16="http://schemas.microsoft.com/office/drawing/2014/main" id="{CDCAEE23-F142-8BE6-7F9F-EC2AEE4A5C7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85938" y="2562225"/>
          <a:ext cx="2674620" cy="7624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571500</xdr:colOff>
      <xdr:row>12</xdr:row>
      <xdr:rowOff>166688</xdr:rowOff>
    </xdr:from>
    <xdr:to>
      <xdr:col>10</xdr:col>
      <xdr:colOff>579120</xdr:colOff>
      <xdr:row>18</xdr:row>
      <xdr:rowOff>174307</xdr:rowOff>
    </xdr:to>
    <xdr:pic>
      <xdr:nvPicPr>
        <xdr:cNvPr id="28" name="Picture 27">
          <a:extLst>
            <a:ext uri="{FF2B5EF4-FFF2-40B4-BE49-F238E27FC236}">
              <a16:creationId xmlns:a16="http://schemas.microsoft.com/office/drawing/2014/main" id="{286DE62C-0160-1496-0DC7-0FCC1720959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238750" y="2309813"/>
          <a:ext cx="2007870" cy="1079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202406</xdr:colOff>
      <xdr:row>11</xdr:row>
      <xdr:rowOff>166688</xdr:rowOff>
    </xdr:from>
    <xdr:to>
      <xdr:col>21</xdr:col>
      <xdr:colOff>210026</xdr:colOff>
      <xdr:row>19</xdr:row>
      <xdr:rowOff>33814</xdr:rowOff>
    </xdr:to>
    <xdr:pic>
      <xdr:nvPicPr>
        <xdr:cNvPr id="29" name="Picture 28">
          <a:extLst>
            <a:ext uri="{FF2B5EF4-FFF2-40B4-BE49-F238E27FC236}">
              <a16:creationId xmlns:a16="http://schemas.microsoft.com/office/drawing/2014/main" id="{4BFC346B-1421-989D-FD1A-DE0F1DE3B9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537156" y="2131219"/>
          <a:ext cx="2674620" cy="1295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559594</xdr:colOff>
      <xdr:row>11</xdr:row>
      <xdr:rowOff>154782</xdr:rowOff>
    </xdr:from>
    <xdr:to>
      <xdr:col>15</xdr:col>
      <xdr:colOff>567214</xdr:colOff>
      <xdr:row>19</xdr:row>
      <xdr:rowOff>21908</xdr:rowOff>
    </xdr:to>
    <xdr:pic>
      <xdr:nvPicPr>
        <xdr:cNvPr id="30" name="Picture 29">
          <a:extLst>
            <a:ext uri="{FF2B5EF4-FFF2-40B4-BE49-F238E27FC236}">
              <a16:creationId xmlns:a16="http://schemas.microsoft.com/office/drawing/2014/main" id="{4C4EDF67-7E06-1F40-8102-9D110DEA65E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60594" y="2119313"/>
          <a:ext cx="2007870" cy="1295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266700</xdr:colOff>
      <xdr:row>12</xdr:row>
      <xdr:rowOff>9525</xdr:rowOff>
    </xdr:from>
    <xdr:to>
      <xdr:col>5</xdr:col>
      <xdr:colOff>84582</xdr:colOff>
      <xdr:row>15</xdr:row>
      <xdr:rowOff>114300</xdr:rowOff>
    </xdr:to>
    <xdr:sp macro="" textlink="">
      <xdr:nvSpPr>
        <xdr:cNvPr id="31" name="Arrow: Down 30">
          <a:extLst>
            <a:ext uri="{FF2B5EF4-FFF2-40B4-BE49-F238E27FC236}">
              <a16:creationId xmlns:a16="http://schemas.microsoft.com/office/drawing/2014/main" id="{A441E5AF-628A-8D88-1B54-50423AA70850}"/>
            </a:ext>
          </a:extLst>
        </xdr:cNvPr>
        <xdr:cNvSpPr/>
      </xdr:nvSpPr>
      <xdr:spPr>
        <a:xfrm>
          <a:off x="2933700" y="2066925"/>
          <a:ext cx="484632" cy="619125"/>
        </a:xfrm>
        <a:prstGeom prst="down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0</xdr:colOff>
      <xdr:row>12</xdr:row>
      <xdr:rowOff>47625</xdr:rowOff>
    </xdr:from>
    <xdr:to>
      <xdr:col>9</xdr:col>
      <xdr:colOff>484632</xdr:colOff>
      <xdr:row>15</xdr:row>
      <xdr:rowOff>123825</xdr:rowOff>
    </xdr:to>
    <xdr:sp macro="" textlink="">
      <xdr:nvSpPr>
        <xdr:cNvPr id="32" name="Arrow: Down 31">
          <a:extLst>
            <a:ext uri="{FF2B5EF4-FFF2-40B4-BE49-F238E27FC236}">
              <a16:creationId xmlns:a16="http://schemas.microsoft.com/office/drawing/2014/main" id="{E30FB4EC-F1ED-A7F1-76B6-386141E12606}"/>
            </a:ext>
          </a:extLst>
        </xdr:cNvPr>
        <xdr:cNvSpPr/>
      </xdr:nvSpPr>
      <xdr:spPr>
        <a:xfrm>
          <a:off x="6000750" y="2105025"/>
          <a:ext cx="484632" cy="590550"/>
        </a:xfrm>
        <a:prstGeom prst="down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647700</xdr:colOff>
      <xdr:row>12</xdr:row>
      <xdr:rowOff>38100</xdr:rowOff>
    </xdr:from>
    <xdr:to>
      <xdr:col>14</xdr:col>
      <xdr:colOff>465582</xdr:colOff>
      <xdr:row>15</xdr:row>
      <xdr:rowOff>95250</xdr:rowOff>
    </xdr:to>
    <xdr:sp macro="" textlink="">
      <xdr:nvSpPr>
        <xdr:cNvPr id="33" name="Arrow: Down 32">
          <a:extLst>
            <a:ext uri="{FF2B5EF4-FFF2-40B4-BE49-F238E27FC236}">
              <a16:creationId xmlns:a16="http://schemas.microsoft.com/office/drawing/2014/main" id="{0A0E0ABA-81D0-ABA8-CAAF-BA17482BC239}"/>
            </a:ext>
          </a:extLst>
        </xdr:cNvPr>
        <xdr:cNvSpPr/>
      </xdr:nvSpPr>
      <xdr:spPr>
        <a:xfrm>
          <a:off x="9315450" y="2095500"/>
          <a:ext cx="484632" cy="571500"/>
        </a:xfrm>
        <a:prstGeom prst="down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631031</xdr:colOff>
      <xdr:row>12</xdr:row>
      <xdr:rowOff>45244</xdr:rowOff>
    </xdr:from>
    <xdr:to>
      <xdr:col>19</xdr:col>
      <xdr:colOff>448913</xdr:colOff>
      <xdr:row>15</xdr:row>
      <xdr:rowOff>102394</xdr:rowOff>
    </xdr:to>
    <xdr:sp macro="" textlink="">
      <xdr:nvSpPr>
        <xdr:cNvPr id="34" name="Arrow: Down 33">
          <a:extLst>
            <a:ext uri="{FF2B5EF4-FFF2-40B4-BE49-F238E27FC236}">
              <a16:creationId xmlns:a16="http://schemas.microsoft.com/office/drawing/2014/main" id="{DFDB5039-72C5-486A-A405-6D1A3EFDD911}"/>
            </a:ext>
          </a:extLst>
        </xdr:cNvPr>
        <xdr:cNvSpPr/>
      </xdr:nvSpPr>
      <xdr:spPr>
        <a:xfrm>
          <a:off x="12632531" y="2102644"/>
          <a:ext cx="484632" cy="571500"/>
        </a:xfrm>
        <a:prstGeom prst="down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5.600643055557" createdVersion="8" refreshedVersion="8" minRefreshableVersion="3" recordCount="83" xr:uid="{8213329F-A66B-49ED-91AA-D79A212768B7}">
  <cacheSource type="worksheet">
    <worksheetSource ref="A1:A1048576" sheet="Business_Transactions"/>
  </cacheSource>
  <cacheFields count="1">
    <cacheField name="KIOT - Advanced Excel &amp; Power BI | Batch 1 | Day 2 - Session 3: PivotTable Business Analysi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5.601072453705" createdVersion="8" refreshedVersion="8" minRefreshableVersion="3" recordCount="80" xr:uid="{98B4952D-6156-4BC2-B7E1-0159E5FC8F8F}">
  <cacheSource type="worksheet">
    <worksheetSource name="PivotSourceTable"/>
  </cacheSource>
  <cacheFields count="9">
    <cacheField name="Order ID" numFmtId="0">
      <sharedItems/>
    </cacheField>
    <cacheField name="Order Date" numFmtId="164">
      <sharedItems containsSemiMixedTypes="0" containsNonDate="0" containsDate="1" containsString="0" minDate="2026-01-01T00:00:00" maxDate="2026-08-27T00:00:00"/>
    </cacheField>
    <cacheField name="Region" numFmtId="0">
      <sharedItems count="4">
        <s v="Salem"/>
        <s v="Erode"/>
        <s v="Coimbatore"/>
        <s v="Namakkal"/>
      </sharedItems>
    </cacheField>
    <cacheField name="Department" numFmtId="0">
      <sharedItems/>
    </cacheField>
    <cacheField name="Salesperson" numFmtId="0">
      <sharedItems/>
    </cacheField>
    <cacheField name="Category" numFmtId="0">
      <sharedItems count="4">
        <s v="Laptop"/>
        <s v="Mobile"/>
        <s v="Accessories"/>
        <s v="Service"/>
      </sharedItems>
    </cacheField>
    <cacheField name="Sales" numFmtId="165">
      <sharedItems containsSemiMixedTypes="0" containsString="0" containsNumber="1" containsInteger="1" minValue="18000" maxValue="80000" count="80">
        <n v="18000"/>
        <n v="23500"/>
        <n v="29000"/>
        <n v="34500"/>
        <n v="40000"/>
        <n v="45500"/>
        <n v="51000"/>
        <n v="56500"/>
        <n v="62000"/>
        <n v="67500"/>
        <n v="74000"/>
        <n v="19000"/>
        <n v="24500"/>
        <n v="30000"/>
        <n v="35500"/>
        <n v="41000"/>
        <n v="46500"/>
        <n v="52000"/>
        <n v="57500"/>
        <n v="63000"/>
        <n v="69500"/>
        <n v="75000"/>
        <n v="20000"/>
        <n v="25500"/>
        <n v="31000"/>
        <n v="36500"/>
        <n v="42000"/>
        <n v="47500"/>
        <n v="53000"/>
        <n v="58500"/>
        <n v="65000"/>
        <n v="70500"/>
        <n v="76000"/>
        <n v="21000"/>
        <n v="26500"/>
        <n v="32000"/>
        <n v="37500"/>
        <n v="43000"/>
        <n v="48500"/>
        <n v="54000"/>
        <n v="60500"/>
        <n v="66000"/>
        <n v="71500"/>
        <n v="77000"/>
        <n v="22000"/>
        <n v="27500"/>
        <n v="33000"/>
        <n v="38500"/>
        <n v="44000"/>
        <n v="49500"/>
        <n v="56000"/>
        <n v="61500"/>
        <n v="67000"/>
        <n v="72500"/>
        <n v="78000"/>
        <n v="23000"/>
        <n v="28500"/>
        <n v="34000"/>
        <n v="39500"/>
        <n v="45000"/>
        <n v="51500"/>
        <n v="57000"/>
        <n v="62500"/>
        <n v="68000"/>
        <n v="73500"/>
        <n v="79000"/>
        <n v="24000"/>
        <n v="29500"/>
        <n v="35000"/>
        <n v="40500"/>
        <n v="47000"/>
        <n v="52500"/>
        <n v="58000"/>
        <n v="63500"/>
        <n v="69000"/>
        <n v="74500"/>
        <n v="80000"/>
        <n v="25000"/>
        <n v="30500"/>
        <n v="36000"/>
      </sharedItems>
    </cacheField>
    <cacheField name="Profit" numFmtId="165">
      <sharedItems containsSemiMixedTypes="0" containsString="0" containsNumber="1" containsInteger="1" minValue="2160" maxValue="15015"/>
    </cacheField>
    <cacheField name="Units" numFmtId="0">
      <sharedItems containsSemiMixedTypes="0" containsString="0" containsNumber="1" containsInteger="1" minValue="2" maxValue="14"/>
    </cacheField>
  </cacheFields>
  <extLst>
    <ext xmlns:x14="http://schemas.microsoft.com/office/spreadsheetml/2009/9/main" uri="{725AE2AE-9491-48be-B2B4-4EB974FC3084}">
      <x14:pivotCacheDefinition pivotCacheId="385111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m/>
  </r>
  <r>
    <s v="Order ID"/>
  </r>
  <r>
    <s v="O0001"/>
  </r>
  <r>
    <s v="O0002"/>
  </r>
  <r>
    <s v="O0003"/>
  </r>
  <r>
    <s v="O0004"/>
  </r>
  <r>
    <s v="O0005"/>
  </r>
  <r>
    <s v="O0006"/>
  </r>
  <r>
    <s v="O0007"/>
  </r>
  <r>
    <s v="O0008"/>
  </r>
  <r>
    <s v="O0009"/>
  </r>
  <r>
    <s v="O0010"/>
  </r>
  <r>
    <s v="O0011"/>
  </r>
  <r>
    <s v="O0012"/>
  </r>
  <r>
    <s v="O0013"/>
  </r>
  <r>
    <s v="O0014"/>
  </r>
  <r>
    <s v="O0015"/>
  </r>
  <r>
    <s v="O0016"/>
  </r>
  <r>
    <s v="O0017"/>
  </r>
  <r>
    <s v="O0018"/>
  </r>
  <r>
    <s v="O0019"/>
  </r>
  <r>
    <s v="O0020"/>
  </r>
  <r>
    <s v="O0021"/>
  </r>
  <r>
    <s v="O0022"/>
  </r>
  <r>
    <s v="O0023"/>
  </r>
  <r>
    <s v="O0024"/>
  </r>
  <r>
    <s v="O0025"/>
  </r>
  <r>
    <s v="O0026"/>
  </r>
  <r>
    <s v="O0027"/>
  </r>
  <r>
    <s v="O0028"/>
  </r>
  <r>
    <s v="O0029"/>
  </r>
  <r>
    <s v="O0030"/>
  </r>
  <r>
    <s v="O0031"/>
  </r>
  <r>
    <s v="O0032"/>
  </r>
  <r>
    <s v="O0033"/>
  </r>
  <r>
    <s v="O0034"/>
  </r>
  <r>
    <s v="O0035"/>
  </r>
  <r>
    <s v="O0036"/>
  </r>
  <r>
    <s v="O0037"/>
  </r>
  <r>
    <s v="O0038"/>
  </r>
  <r>
    <s v="O0039"/>
  </r>
  <r>
    <s v="O0040"/>
  </r>
  <r>
    <s v="O0041"/>
  </r>
  <r>
    <s v="O0042"/>
  </r>
  <r>
    <s v="O0043"/>
  </r>
  <r>
    <s v="O0044"/>
  </r>
  <r>
    <s v="O0045"/>
  </r>
  <r>
    <s v="O0046"/>
  </r>
  <r>
    <s v="O0047"/>
  </r>
  <r>
    <s v="O0048"/>
  </r>
  <r>
    <s v="O0049"/>
  </r>
  <r>
    <s v="O0050"/>
  </r>
  <r>
    <s v="O0051"/>
  </r>
  <r>
    <s v="O0052"/>
  </r>
  <r>
    <s v="O0053"/>
  </r>
  <r>
    <s v="O0054"/>
  </r>
  <r>
    <s v="O0055"/>
  </r>
  <r>
    <s v="O0056"/>
  </r>
  <r>
    <s v="O0057"/>
  </r>
  <r>
    <s v="O0058"/>
  </r>
  <r>
    <s v="O0059"/>
  </r>
  <r>
    <s v="O0060"/>
  </r>
  <r>
    <s v="O0061"/>
  </r>
  <r>
    <s v="O0062"/>
  </r>
  <r>
    <s v="O0063"/>
  </r>
  <r>
    <s v="O0064"/>
  </r>
  <r>
    <s v="O0065"/>
  </r>
  <r>
    <s v="O0066"/>
  </r>
  <r>
    <s v="O0067"/>
  </r>
  <r>
    <s v="O0068"/>
  </r>
  <r>
    <s v="O0069"/>
  </r>
  <r>
    <s v="O0070"/>
  </r>
  <r>
    <s v="O0071"/>
  </r>
  <r>
    <s v="O0072"/>
  </r>
  <r>
    <s v="O0073"/>
  </r>
  <r>
    <s v="O0074"/>
  </r>
  <r>
    <s v="O0075"/>
  </r>
  <r>
    <s v="O0076"/>
  </r>
  <r>
    <s v="O0077"/>
  </r>
  <r>
    <s v="O0078"/>
  </r>
  <r>
    <s v="O0079"/>
  </r>
  <r>
    <s v="O0080"/>
  </r>
  <r>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0001"/>
    <d v="2026-01-01T00:00:00"/>
    <x v="0"/>
    <s v="Sales"/>
    <s v="Arun"/>
    <x v="0"/>
    <x v="0"/>
    <n v="2160"/>
    <n v="2"/>
  </r>
  <r>
    <s v="O0002"/>
    <d v="2026-01-04T00:00:00"/>
    <x v="1"/>
    <s v="Retail"/>
    <s v="Divya"/>
    <x v="1"/>
    <x v="1"/>
    <n v="3407"/>
    <n v="3"/>
  </r>
  <r>
    <s v="O0003"/>
    <d v="2026-01-07T00:00:00"/>
    <x v="2"/>
    <s v="Corporate"/>
    <s v="Kavin"/>
    <x v="2"/>
    <x v="2"/>
    <n v="4930"/>
    <n v="4"/>
  </r>
  <r>
    <s v="O0004"/>
    <d v="2026-01-10T00:00:00"/>
    <x v="3"/>
    <s v="Sales"/>
    <s v="Meena"/>
    <x v="3"/>
    <x v="3"/>
    <n v="6727"/>
    <n v="5"/>
  </r>
  <r>
    <s v="O0005"/>
    <d v="2026-01-13T00:00:00"/>
    <x v="0"/>
    <s v="Retail"/>
    <s v="Naveen"/>
    <x v="0"/>
    <x v="4"/>
    <n v="4800"/>
    <n v="6"/>
  </r>
  <r>
    <s v="O0006"/>
    <d v="2026-01-16T00:00:00"/>
    <x v="1"/>
    <s v="Corporate"/>
    <s v="Priya"/>
    <x v="1"/>
    <x v="5"/>
    <n v="6597"/>
    <n v="7"/>
  </r>
  <r>
    <s v="O0007"/>
    <d v="2026-01-19T00:00:00"/>
    <x v="2"/>
    <s v="Sales"/>
    <s v="Arun"/>
    <x v="2"/>
    <x v="6"/>
    <n v="8670"/>
    <n v="8"/>
  </r>
  <r>
    <s v="O0008"/>
    <d v="2026-01-22T00:00:00"/>
    <x v="3"/>
    <s v="Retail"/>
    <s v="Divya"/>
    <x v="3"/>
    <x v="7"/>
    <n v="11017"/>
    <n v="9"/>
  </r>
  <r>
    <s v="O0009"/>
    <d v="2026-01-25T00:00:00"/>
    <x v="0"/>
    <s v="Corporate"/>
    <s v="Kavin"/>
    <x v="0"/>
    <x v="8"/>
    <n v="7440"/>
    <n v="10"/>
  </r>
  <r>
    <s v="O0010"/>
    <d v="2026-01-28T00:00:00"/>
    <x v="1"/>
    <s v="Sales"/>
    <s v="Meena"/>
    <x v="1"/>
    <x v="9"/>
    <n v="9787"/>
    <n v="11"/>
  </r>
  <r>
    <s v="O0011"/>
    <d v="2026-01-31T00:00:00"/>
    <x v="2"/>
    <s v="Retail"/>
    <s v="Naveen"/>
    <x v="2"/>
    <x v="10"/>
    <n v="12579"/>
    <n v="12"/>
  </r>
  <r>
    <s v="O0012"/>
    <d v="2026-02-03T00:00:00"/>
    <x v="3"/>
    <s v="Corporate"/>
    <s v="Priya"/>
    <x v="3"/>
    <x v="11"/>
    <n v="3705"/>
    <n v="13"/>
  </r>
  <r>
    <s v="O0013"/>
    <d v="2026-02-06T00:00:00"/>
    <x v="0"/>
    <s v="Sales"/>
    <s v="Arun"/>
    <x v="0"/>
    <x v="12"/>
    <n v="2940"/>
    <n v="14"/>
  </r>
  <r>
    <s v="O0014"/>
    <d v="2026-02-09T00:00:00"/>
    <x v="1"/>
    <s v="Retail"/>
    <s v="Divya"/>
    <x v="1"/>
    <x v="13"/>
    <n v="4350"/>
    <n v="2"/>
  </r>
  <r>
    <s v="O0015"/>
    <d v="2026-02-12T00:00:00"/>
    <x v="2"/>
    <s v="Corporate"/>
    <s v="Kavin"/>
    <x v="2"/>
    <x v="14"/>
    <n v="6034"/>
    <n v="3"/>
  </r>
  <r>
    <s v="O0016"/>
    <d v="2026-02-15T00:00:00"/>
    <x v="3"/>
    <s v="Sales"/>
    <s v="Meena"/>
    <x v="3"/>
    <x v="15"/>
    <n v="7995"/>
    <n v="4"/>
  </r>
  <r>
    <s v="O0017"/>
    <d v="2026-02-18T00:00:00"/>
    <x v="0"/>
    <s v="Retail"/>
    <s v="Naveen"/>
    <x v="0"/>
    <x v="16"/>
    <n v="5580"/>
    <n v="5"/>
  </r>
  <r>
    <s v="O0018"/>
    <d v="2026-02-21T00:00:00"/>
    <x v="1"/>
    <s v="Corporate"/>
    <s v="Priya"/>
    <x v="1"/>
    <x v="17"/>
    <n v="7539"/>
    <n v="6"/>
  </r>
  <r>
    <s v="O0019"/>
    <d v="2026-02-24T00:00:00"/>
    <x v="2"/>
    <s v="Sales"/>
    <s v="Arun"/>
    <x v="2"/>
    <x v="18"/>
    <n v="9775"/>
    <n v="7"/>
  </r>
  <r>
    <s v="O0020"/>
    <d v="2026-02-27T00:00:00"/>
    <x v="3"/>
    <s v="Retail"/>
    <s v="Divya"/>
    <x v="3"/>
    <x v="19"/>
    <n v="12285"/>
    <n v="8"/>
  </r>
  <r>
    <s v="O0021"/>
    <d v="2026-03-02T00:00:00"/>
    <x v="0"/>
    <s v="Corporate"/>
    <s v="Kavin"/>
    <x v="0"/>
    <x v="20"/>
    <n v="8340"/>
    <n v="9"/>
  </r>
  <r>
    <s v="O0022"/>
    <d v="2026-03-05T00:00:00"/>
    <x v="1"/>
    <s v="Sales"/>
    <s v="Meena"/>
    <x v="1"/>
    <x v="21"/>
    <n v="10875"/>
    <n v="10"/>
  </r>
  <r>
    <s v="O0023"/>
    <d v="2026-03-08T00:00:00"/>
    <x v="2"/>
    <s v="Retail"/>
    <s v="Naveen"/>
    <x v="2"/>
    <x v="22"/>
    <n v="3399"/>
    <n v="11"/>
  </r>
  <r>
    <s v="O0024"/>
    <d v="2026-03-11T00:00:00"/>
    <x v="3"/>
    <s v="Corporate"/>
    <s v="Priya"/>
    <x v="3"/>
    <x v="23"/>
    <n v="4972"/>
    <n v="12"/>
  </r>
  <r>
    <s v="O0025"/>
    <d v="2026-03-14T00:00:00"/>
    <x v="0"/>
    <s v="Sales"/>
    <s v="Arun"/>
    <x v="0"/>
    <x v="24"/>
    <n v="3720"/>
    <n v="13"/>
  </r>
  <r>
    <s v="O0026"/>
    <d v="2026-03-17T00:00:00"/>
    <x v="1"/>
    <s v="Retail"/>
    <s v="Divya"/>
    <x v="1"/>
    <x v="25"/>
    <n v="5292"/>
    <n v="14"/>
  </r>
  <r>
    <s v="O0027"/>
    <d v="2026-03-20T00:00:00"/>
    <x v="2"/>
    <s v="Corporate"/>
    <s v="Kavin"/>
    <x v="2"/>
    <x v="26"/>
    <n v="7139"/>
    <n v="2"/>
  </r>
  <r>
    <s v="O0028"/>
    <d v="2026-03-23T00:00:00"/>
    <x v="3"/>
    <s v="Sales"/>
    <s v="Meena"/>
    <x v="3"/>
    <x v="27"/>
    <n v="9262"/>
    <n v="3"/>
  </r>
  <r>
    <s v="O0029"/>
    <d v="2026-03-26T00:00:00"/>
    <x v="0"/>
    <s v="Retail"/>
    <s v="Naveen"/>
    <x v="0"/>
    <x v="28"/>
    <n v="6360"/>
    <n v="4"/>
  </r>
  <r>
    <s v="O0030"/>
    <d v="2026-03-29T00:00:00"/>
    <x v="1"/>
    <s v="Corporate"/>
    <s v="Priya"/>
    <x v="1"/>
    <x v="29"/>
    <n v="8482"/>
    <n v="5"/>
  </r>
  <r>
    <s v="O0031"/>
    <d v="2026-04-01T00:00:00"/>
    <x v="2"/>
    <s v="Sales"/>
    <s v="Arun"/>
    <x v="2"/>
    <x v="30"/>
    <n v="11049"/>
    <n v="6"/>
  </r>
  <r>
    <s v="O0032"/>
    <d v="2026-04-04T00:00:00"/>
    <x v="3"/>
    <s v="Retail"/>
    <s v="Divya"/>
    <x v="3"/>
    <x v="31"/>
    <n v="13747"/>
    <n v="7"/>
  </r>
  <r>
    <s v="O0033"/>
    <d v="2026-04-07T00:00:00"/>
    <x v="0"/>
    <s v="Corporate"/>
    <s v="Kavin"/>
    <x v="0"/>
    <x v="32"/>
    <n v="9120"/>
    <n v="8"/>
  </r>
  <r>
    <s v="O0034"/>
    <d v="2026-04-10T00:00:00"/>
    <x v="1"/>
    <s v="Sales"/>
    <s v="Meena"/>
    <x v="1"/>
    <x v="33"/>
    <n v="3045"/>
    <n v="9"/>
  </r>
  <r>
    <s v="O0035"/>
    <d v="2026-04-13T00:00:00"/>
    <x v="2"/>
    <s v="Retail"/>
    <s v="Naveen"/>
    <x v="2"/>
    <x v="34"/>
    <n v="4505"/>
    <n v="10"/>
  </r>
  <r>
    <s v="O0036"/>
    <d v="2026-04-16T00:00:00"/>
    <x v="3"/>
    <s v="Corporate"/>
    <s v="Priya"/>
    <x v="3"/>
    <x v="35"/>
    <n v="6240"/>
    <n v="11"/>
  </r>
  <r>
    <s v="O0037"/>
    <d v="2026-04-19T00:00:00"/>
    <x v="0"/>
    <s v="Sales"/>
    <s v="Arun"/>
    <x v="0"/>
    <x v="36"/>
    <n v="4500"/>
    <n v="12"/>
  </r>
  <r>
    <s v="O0038"/>
    <d v="2026-04-22T00:00:00"/>
    <x v="1"/>
    <s v="Retail"/>
    <s v="Divya"/>
    <x v="1"/>
    <x v="37"/>
    <n v="6235"/>
    <n v="13"/>
  </r>
  <r>
    <s v="O0039"/>
    <d v="2026-04-25T00:00:00"/>
    <x v="2"/>
    <s v="Corporate"/>
    <s v="Kavin"/>
    <x v="2"/>
    <x v="38"/>
    <n v="8245"/>
    <n v="14"/>
  </r>
  <r>
    <s v="O0040"/>
    <d v="2026-04-28T00:00:00"/>
    <x v="3"/>
    <s v="Sales"/>
    <s v="Meena"/>
    <x v="3"/>
    <x v="39"/>
    <n v="10530"/>
    <n v="2"/>
  </r>
  <r>
    <s v="O0041"/>
    <d v="2026-05-01T00:00:00"/>
    <x v="0"/>
    <s v="Retail"/>
    <s v="Naveen"/>
    <x v="0"/>
    <x v="40"/>
    <n v="7260"/>
    <n v="3"/>
  </r>
  <r>
    <s v="O0042"/>
    <d v="2026-05-04T00:00:00"/>
    <x v="1"/>
    <s v="Corporate"/>
    <s v="Priya"/>
    <x v="1"/>
    <x v="41"/>
    <n v="9570"/>
    <n v="4"/>
  </r>
  <r>
    <s v="O0043"/>
    <d v="2026-05-07T00:00:00"/>
    <x v="2"/>
    <s v="Sales"/>
    <s v="Arun"/>
    <x v="2"/>
    <x v="42"/>
    <n v="12154"/>
    <n v="5"/>
  </r>
  <r>
    <s v="O0044"/>
    <d v="2026-05-10T00:00:00"/>
    <x v="3"/>
    <s v="Retail"/>
    <s v="Divya"/>
    <x v="3"/>
    <x v="43"/>
    <n v="15015"/>
    <n v="6"/>
  </r>
  <r>
    <s v="O0045"/>
    <d v="2026-05-13T00:00:00"/>
    <x v="0"/>
    <s v="Corporate"/>
    <s v="Kavin"/>
    <x v="0"/>
    <x v="44"/>
    <n v="2640"/>
    <n v="7"/>
  </r>
  <r>
    <s v="O0046"/>
    <d v="2026-05-16T00:00:00"/>
    <x v="1"/>
    <s v="Sales"/>
    <s v="Meena"/>
    <x v="1"/>
    <x v="45"/>
    <n v="3987"/>
    <n v="8"/>
  </r>
  <r>
    <s v="O0047"/>
    <d v="2026-05-19T00:00:00"/>
    <x v="2"/>
    <s v="Retail"/>
    <s v="Naveen"/>
    <x v="2"/>
    <x v="46"/>
    <n v="5609"/>
    <n v="9"/>
  </r>
  <r>
    <s v="O0048"/>
    <d v="2026-05-22T00:00:00"/>
    <x v="3"/>
    <s v="Corporate"/>
    <s v="Priya"/>
    <x v="3"/>
    <x v="47"/>
    <n v="7507"/>
    <n v="10"/>
  </r>
  <r>
    <s v="O0049"/>
    <d v="2026-05-25T00:00:00"/>
    <x v="0"/>
    <s v="Sales"/>
    <s v="Arun"/>
    <x v="0"/>
    <x v="48"/>
    <n v="5280"/>
    <n v="11"/>
  </r>
  <r>
    <s v="O0050"/>
    <d v="2026-05-28T00:00:00"/>
    <x v="1"/>
    <s v="Retail"/>
    <s v="Divya"/>
    <x v="1"/>
    <x v="49"/>
    <n v="7177"/>
    <n v="12"/>
  </r>
  <r>
    <s v="O0051"/>
    <d v="2026-05-31T00:00:00"/>
    <x v="2"/>
    <s v="Corporate"/>
    <s v="Kavin"/>
    <x v="2"/>
    <x v="50"/>
    <n v="9520"/>
    <n v="13"/>
  </r>
  <r>
    <s v="O0052"/>
    <d v="2026-06-03T00:00:00"/>
    <x v="3"/>
    <s v="Sales"/>
    <s v="Meena"/>
    <x v="3"/>
    <x v="51"/>
    <n v="11992"/>
    <n v="14"/>
  </r>
  <r>
    <s v="O0053"/>
    <d v="2026-06-06T00:00:00"/>
    <x v="0"/>
    <s v="Retail"/>
    <s v="Naveen"/>
    <x v="0"/>
    <x v="52"/>
    <n v="8040"/>
    <n v="2"/>
  </r>
  <r>
    <s v="O0054"/>
    <d v="2026-06-09T00:00:00"/>
    <x v="1"/>
    <s v="Corporate"/>
    <s v="Priya"/>
    <x v="1"/>
    <x v="53"/>
    <n v="10512"/>
    <n v="3"/>
  </r>
  <r>
    <s v="O0055"/>
    <d v="2026-06-12T00:00:00"/>
    <x v="2"/>
    <s v="Sales"/>
    <s v="Arun"/>
    <x v="2"/>
    <x v="54"/>
    <n v="13259"/>
    <n v="4"/>
  </r>
  <r>
    <s v="O0056"/>
    <d v="2026-06-15T00:00:00"/>
    <x v="3"/>
    <s v="Retail"/>
    <s v="Divya"/>
    <x v="3"/>
    <x v="55"/>
    <n v="4485"/>
    <n v="5"/>
  </r>
  <r>
    <s v="O0057"/>
    <d v="2026-06-18T00:00:00"/>
    <x v="0"/>
    <s v="Corporate"/>
    <s v="Kavin"/>
    <x v="0"/>
    <x v="56"/>
    <n v="3420"/>
    <n v="6"/>
  </r>
  <r>
    <s v="O0058"/>
    <d v="2026-06-21T00:00:00"/>
    <x v="1"/>
    <s v="Sales"/>
    <s v="Meena"/>
    <x v="1"/>
    <x v="57"/>
    <n v="4930"/>
    <n v="7"/>
  </r>
  <r>
    <s v="O0059"/>
    <d v="2026-06-24T00:00:00"/>
    <x v="2"/>
    <s v="Retail"/>
    <s v="Naveen"/>
    <x v="2"/>
    <x v="58"/>
    <n v="6714"/>
    <n v="8"/>
  </r>
  <r>
    <s v="O0060"/>
    <d v="2026-06-27T00:00:00"/>
    <x v="3"/>
    <s v="Corporate"/>
    <s v="Priya"/>
    <x v="3"/>
    <x v="59"/>
    <n v="8775"/>
    <n v="9"/>
  </r>
  <r>
    <s v="O0061"/>
    <d v="2026-06-30T00:00:00"/>
    <x v="0"/>
    <s v="Sales"/>
    <s v="Arun"/>
    <x v="0"/>
    <x v="60"/>
    <n v="6180"/>
    <n v="10"/>
  </r>
  <r>
    <s v="O0062"/>
    <d v="2026-07-03T00:00:00"/>
    <x v="1"/>
    <s v="Retail"/>
    <s v="Divya"/>
    <x v="1"/>
    <x v="61"/>
    <n v="8265"/>
    <n v="11"/>
  </r>
  <r>
    <s v="O0063"/>
    <d v="2026-07-06T00:00:00"/>
    <x v="2"/>
    <s v="Corporate"/>
    <s v="Kavin"/>
    <x v="2"/>
    <x v="62"/>
    <n v="10624"/>
    <n v="12"/>
  </r>
  <r>
    <s v="O0064"/>
    <d v="2026-07-09T00:00:00"/>
    <x v="3"/>
    <s v="Sales"/>
    <s v="Meena"/>
    <x v="3"/>
    <x v="63"/>
    <n v="13260"/>
    <n v="13"/>
  </r>
  <r>
    <s v="O0065"/>
    <d v="2026-07-12T00:00:00"/>
    <x v="0"/>
    <s v="Retail"/>
    <s v="Naveen"/>
    <x v="0"/>
    <x v="64"/>
    <n v="8820"/>
    <n v="14"/>
  </r>
  <r>
    <s v="O0066"/>
    <d v="2026-07-15T00:00:00"/>
    <x v="1"/>
    <s v="Corporate"/>
    <s v="Priya"/>
    <x v="1"/>
    <x v="65"/>
    <n v="11455"/>
    <n v="2"/>
  </r>
  <r>
    <s v="O0067"/>
    <d v="2026-07-18T00:00:00"/>
    <x v="2"/>
    <s v="Sales"/>
    <s v="Arun"/>
    <x v="2"/>
    <x v="66"/>
    <n v="4079"/>
    <n v="3"/>
  </r>
  <r>
    <s v="O0068"/>
    <d v="2026-07-21T00:00:00"/>
    <x v="3"/>
    <s v="Retail"/>
    <s v="Divya"/>
    <x v="3"/>
    <x v="67"/>
    <n v="5752"/>
    <n v="4"/>
  </r>
  <r>
    <s v="O0069"/>
    <d v="2026-07-24T00:00:00"/>
    <x v="0"/>
    <s v="Corporate"/>
    <s v="Kavin"/>
    <x v="0"/>
    <x v="68"/>
    <n v="4200"/>
    <n v="5"/>
  </r>
  <r>
    <s v="O0070"/>
    <d v="2026-07-27T00:00:00"/>
    <x v="1"/>
    <s v="Sales"/>
    <s v="Meena"/>
    <x v="1"/>
    <x v="69"/>
    <n v="5872"/>
    <n v="6"/>
  </r>
  <r>
    <s v="O0071"/>
    <d v="2026-07-30T00:00:00"/>
    <x v="2"/>
    <s v="Retail"/>
    <s v="Naveen"/>
    <x v="2"/>
    <x v="70"/>
    <n v="7989"/>
    <n v="7"/>
  </r>
  <r>
    <s v="O0072"/>
    <d v="2026-08-02T00:00:00"/>
    <x v="3"/>
    <s v="Corporate"/>
    <s v="Priya"/>
    <x v="3"/>
    <x v="71"/>
    <n v="10237"/>
    <n v="8"/>
  </r>
  <r>
    <s v="O0073"/>
    <d v="2026-08-05T00:00:00"/>
    <x v="0"/>
    <s v="Sales"/>
    <s v="Arun"/>
    <x v="0"/>
    <x v="72"/>
    <n v="6960"/>
    <n v="9"/>
  </r>
  <r>
    <s v="O0074"/>
    <d v="2026-08-08T00:00:00"/>
    <x v="1"/>
    <s v="Retail"/>
    <s v="Divya"/>
    <x v="1"/>
    <x v="73"/>
    <n v="9207"/>
    <n v="10"/>
  </r>
  <r>
    <s v="O0075"/>
    <d v="2026-08-11T00:00:00"/>
    <x v="2"/>
    <s v="Corporate"/>
    <s v="Kavin"/>
    <x v="2"/>
    <x v="74"/>
    <n v="11729"/>
    <n v="11"/>
  </r>
  <r>
    <s v="O0076"/>
    <d v="2026-08-14T00:00:00"/>
    <x v="3"/>
    <s v="Sales"/>
    <s v="Meena"/>
    <x v="3"/>
    <x v="75"/>
    <n v="14527"/>
    <n v="12"/>
  </r>
  <r>
    <s v="O0077"/>
    <d v="2026-08-17T00:00:00"/>
    <x v="0"/>
    <s v="Retail"/>
    <s v="Naveen"/>
    <x v="0"/>
    <x v="76"/>
    <n v="9600"/>
    <n v="13"/>
  </r>
  <r>
    <s v="O0078"/>
    <d v="2026-08-20T00:00:00"/>
    <x v="1"/>
    <s v="Corporate"/>
    <s v="Priya"/>
    <x v="1"/>
    <x v="77"/>
    <n v="3624"/>
    <n v="14"/>
  </r>
  <r>
    <s v="O0079"/>
    <d v="2026-08-23T00:00:00"/>
    <x v="2"/>
    <s v="Sales"/>
    <s v="Arun"/>
    <x v="2"/>
    <x v="78"/>
    <n v="5184"/>
    <n v="2"/>
  </r>
  <r>
    <s v="O0080"/>
    <d v="2026-08-26T00:00:00"/>
    <x v="3"/>
    <s v="Retail"/>
    <s v="Divya"/>
    <x v="3"/>
    <x v="79"/>
    <n v="702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4F98-4B27-4166-A8C8-489F317E19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507A5-482F-4B73-ACDD-2C326ED64CA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18:P24" firstHeaderRow="1" firstDataRow="2" firstDataCol="1"/>
  <pivotFields count="9">
    <pivotField showAll="0"/>
    <pivotField numFmtId="164" showAll="0"/>
    <pivotField axis="axisRow" showAll="0">
      <items count="5">
        <item x="2"/>
        <item x="1"/>
        <item x="3"/>
        <item x="0"/>
        <item t="default"/>
      </items>
    </pivotField>
    <pivotField showAll="0"/>
    <pivotField showAll="0"/>
    <pivotField axis="axisCol" showAll="0">
      <items count="5">
        <item x="2"/>
        <item x="0"/>
        <item x="1"/>
        <item x="3"/>
        <item t="default"/>
      </items>
    </pivotField>
    <pivotField numFmtId="165" showAll="0">
      <items count="81">
        <item x="0"/>
        <item x="11"/>
        <item x="22"/>
        <item x="33"/>
        <item x="44"/>
        <item x="55"/>
        <item x="1"/>
        <item x="66"/>
        <item x="12"/>
        <item x="77"/>
        <item x="23"/>
        <item x="34"/>
        <item x="45"/>
        <item x="56"/>
        <item x="2"/>
        <item x="67"/>
        <item x="13"/>
        <item x="78"/>
        <item x="24"/>
        <item x="35"/>
        <item x="46"/>
        <item x="57"/>
        <item x="3"/>
        <item x="68"/>
        <item x="14"/>
        <item x="79"/>
        <item x="25"/>
        <item x="36"/>
        <item x="47"/>
        <item x="58"/>
        <item x="4"/>
        <item x="69"/>
        <item x="15"/>
        <item x="26"/>
        <item x="37"/>
        <item x="48"/>
        <item x="59"/>
        <item x="5"/>
        <item x="16"/>
        <item x="70"/>
        <item x="27"/>
        <item x="38"/>
        <item x="49"/>
        <item x="6"/>
        <item x="60"/>
        <item x="17"/>
        <item x="71"/>
        <item x="28"/>
        <item x="39"/>
        <item x="50"/>
        <item x="7"/>
        <item x="61"/>
        <item x="18"/>
        <item x="72"/>
        <item x="29"/>
        <item x="40"/>
        <item x="51"/>
        <item x="8"/>
        <item x="62"/>
        <item x="19"/>
        <item x="73"/>
        <item x="30"/>
        <item x="41"/>
        <item x="52"/>
        <item x="9"/>
        <item x="63"/>
        <item x="74"/>
        <item x="20"/>
        <item x="31"/>
        <item x="42"/>
        <item x="53"/>
        <item x="64"/>
        <item x="10"/>
        <item x="75"/>
        <item x="21"/>
        <item x="32"/>
        <item x="43"/>
        <item x="54"/>
        <item x="65"/>
        <item x="76"/>
        <item t="default"/>
      </items>
    </pivotField>
    <pivotField dataField="1" numFmtId="165" showAll="0"/>
    <pivotField showAll="0"/>
  </pivotFields>
  <rowFields count="1">
    <field x="2"/>
  </rowFields>
  <rowItems count="5">
    <i>
      <x/>
    </i>
    <i>
      <x v="1"/>
    </i>
    <i>
      <x v="2"/>
    </i>
    <i>
      <x v="3"/>
    </i>
    <i t="grand">
      <x/>
    </i>
  </rowItems>
  <colFields count="1">
    <field x="5"/>
  </colFields>
  <colItems count="5">
    <i>
      <x/>
    </i>
    <i>
      <x v="1"/>
    </i>
    <i>
      <x v="2"/>
    </i>
    <i>
      <x v="3"/>
    </i>
    <i t="grand">
      <x/>
    </i>
  </colItems>
  <dataFields count="1">
    <dataField name="Average of Profit" fld="7" subtotal="average" baseField="2" baseItem="0" numFmtId="166"/>
  </dataFields>
  <chartFormats count="22">
    <chartFormat chart="5" format="4" series="1">
      <pivotArea type="data" outline="0" fieldPosition="0">
        <references count="2">
          <reference field="4294967294" count="1" selected="0">
            <x v="0"/>
          </reference>
          <reference field="5" count="1" selected="0">
            <x v="2"/>
          </reference>
        </references>
      </pivotArea>
    </chartFormat>
    <chartFormat chart="5" format="5" series="1">
      <pivotArea type="data" outline="0" fieldPosition="0">
        <references count="2">
          <reference field="4294967294" count="1" selected="0">
            <x v="0"/>
          </reference>
          <reference field="5" count="1" selected="0">
            <x v="3"/>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0"/>
          </reference>
        </references>
      </pivotArea>
    </chartFormat>
    <chartFormat chart="6" format="9" series="1">
      <pivotArea type="data" outline="0" fieldPosition="0">
        <references count="2">
          <reference field="4294967294" count="1" selected="0">
            <x v="0"/>
          </reference>
          <reference field="5" count="1" selected="0">
            <x v="1"/>
          </reference>
        </references>
      </pivotArea>
    </chartFormat>
    <chartFormat chart="6" format="10" series="1">
      <pivotArea type="data" outline="0" fieldPosition="0">
        <references count="2">
          <reference field="4294967294" count="1" selected="0">
            <x v="0"/>
          </reference>
          <reference field="5" count="1" selected="0">
            <x v="2"/>
          </reference>
        </references>
      </pivotArea>
    </chartFormat>
    <chartFormat chart="6" format="11" series="1">
      <pivotArea type="data" outline="0" fieldPosition="0">
        <references count="2">
          <reference field="4294967294" count="1" selected="0">
            <x v="0"/>
          </reference>
          <reference field="5" count="1" selected="0">
            <x v="3"/>
          </reference>
        </references>
      </pivotArea>
    </chartFormat>
    <chartFormat chart="7" format="12" series="1">
      <pivotArea type="data" outline="0" fieldPosition="0">
        <references count="2">
          <reference field="4294967294" count="1" selected="0">
            <x v="0"/>
          </reference>
          <reference field="5" count="1" selected="0">
            <x v="0"/>
          </reference>
        </references>
      </pivotArea>
    </chartFormat>
    <chartFormat chart="7" format="13" series="1">
      <pivotArea type="data" outline="0" fieldPosition="0">
        <references count="2">
          <reference field="4294967294" count="1" selected="0">
            <x v="0"/>
          </reference>
          <reference field="5" count="1" selected="0">
            <x v="1"/>
          </reference>
        </references>
      </pivotArea>
    </chartFormat>
    <chartFormat chart="7" format="14" series="1">
      <pivotArea type="data" outline="0" fieldPosition="0">
        <references count="2">
          <reference field="4294967294" count="1" selected="0">
            <x v="0"/>
          </reference>
          <reference field="5" count="1" selected="0">
            <x v="2"/>
          </reference>
        </references>
      </pivotArea>
    </chartFormat>
    <chartFormat chart="7" format="15" series="1">
      <pivotArea type="data" outline="0" fieldPosition="0">
        <references count="2">
          <reference field="4294967294" count="1" selected="0">
            <x v="0"/>
          </reference>
          <reference field="5" count="1" selected="0">
            <x v="3"/>
          </reference>
        </references>
      </pivotArea>
    </chartFormat>
    <chartFormat chart="7" format="1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2" format="21" series="1">
      <pivotArea type="data" outline="0" fieldPosition="0">
        <references count="2">
          <reference field="4294967294" count="1" selected="0">
            <x v="0"/>
          </reference>
          <reference field="5" count="1" selected="0">
            <x v="0"/>
          </reference>
        </references>
      </pivotArea>
    </chartFormat>
    <chartFormat chart="12" format="22" series="1">
      <pivotArea type="data" outline="0" fieldPosition="0">
        <references count="2">
          <reference field="4294967294" count="1" selected="0">
            <x v="0"/>
          </reference>
          <reference field="5" count="1" selected="0">
            <x v="1"/>
          </reference>
        </references>
      </pivotArea>
    </chartFormat>
    <chartFormat chart="12" format="23" series="1">
      <pivotArea type="data" outline="0" fieldPosition="0">
        <references count="2">
          <reference field="4294967294" count="1" selected="0">
            <x v="0"/>
          </reference>
          <reference field="5" count="1" selected="0">
            <x v="2"/>
          </reference>
        </references>
      </pivotArea>
    </chartFormat>
    <chartFormat chart="12" format="24" series="1">
      <pivotArea type="data" outline="0" fieldPosition="0">
        <references count="2">
          <reference field="4294967294" count="1" selected="0">
            <x v="0"/>
          </reference>
          <reference field="5" count="1" selected="0">
            <x v="3"/>
          </reference>
        </references>
      </pivotArea>
    </chartFormat>
    <chartFormat chart="14" format="21" series="1">
      <pivotArea type="data" outline="0" fieldPosition="0">
        <references count="2">
          <reference field="4294967294" count="1" selected="0">
            <x v="0"/>
          </reference>
          <reference field="5" count="1" selected="0">
            <x v="0"/>
          </reference>
        </references>
      </pivotArea>
    </chartFormat>
    <chartFormat chart="14" format="22" series="1">
      <pivotArea type="data" outline="0" fieldPosition="0">
        <references count="2">
          <reference field="4294967294" count="1" selected="0">
            <x v="0"/>
          </reference>
          <reference field="5" count="1" selected="0">
            <x v="1"/>
          </reference>
        </references>
      </pivotArea>
    </chartFormat>
    <chartFormat chart="14" format="23" series="1">
      <pivotArea type="data" outline="0" fieldPosition="0">
        <references count="2">
          <reference field="4294967294" count="1" selected="0">
            <x v="0"/>
          </reference>
          <reference field="5" count="1" selected="0">
            <x v="2"/>
          </reference>
        </references>
      </pivotArea>
    </chartFormat>
    <chartFormat chart="14" format="24"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4DCC7D-EF90-4200-AA6F-F0C6982D12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B16" firstHeaderRow="1" firstDataRow="1" firstDataCol="1"/>
  <pivotFields count="9">
    <pivotField showAll="0"/>
    <pivotField numFmtId="164" showAll="0"/>
    <pivotField showAll="0">
      <items count="5">
        <item x="2"/>
        <item x="1"/>
        <item x="3"/>
        <item x="0"/>
        <item t="default"/>
      </items>
    </pivotField>
    <pivotField showAll="0"/>
    <pivotField showAll="0"/>
    <pivotField axis="axisRow" showAll="0">
      <items count="5">
        <item x="2"/>
        <item x="0"/>
        <item x="1"/>
        <item x="3"/>
        <item t="default"/>
      </items>
    </pivotField>
    <pivotField dataField="1" numFmtId="165" showAll="0"/>
    <pivotField numFmtId="165" showAll="0"/>
    <pivotField showAll="0"/>
  </pivotFields>
  <rowFields count="1">
    <field x="5"/>
  </rowFields>
  <rowItems count="5">
    <i>
      <x/>
    </i>
    <i>
      <x v="1"/>
    </i>
    <i>
      <x v="2"/>
    </i>
    <i>
      <x v="3"/>
    </i>
    <i t="grand">
      <x/>
    </i>
  </rowItems>
  <colItems count="1">
    <i/>
  </colItems>
  <dataFields count="1">
    <dataField name="Sum of Sales" fld="6" baseField="2" baseItem="0" numFmtId="166"/>
  </dataFields>
  <chartFormats count="2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3" format="7">
      <pivotArea type="data" outline="0" fieldPosition="0">
        <references count="2">
          <reference field="4294967294" count="1" selected="0">
            <x v="0"/>
          </reference>
          <reference field="5" count="1" selected="0">
            <x v="2"/>
          </reference>
        </references>
      </pivotArea>
    </chartFormat>
    <chartFormat chart="3" format="8">
      <pivotArea type="data" outline="0" fieldPosition="0">
        <references count="2">
          <reference field="4294967294" count="1" selected="0">
            <x v="0"/>
          </reference>
          <reference field="5" count="1" selected="0">
            <x v="3"/>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0"/>
          </reference>
        </references>
      </pivotArea>
    </chartFormat>
    <chartFormat chart="10" format="18">
      <pivotArea type="data" outline="0" fieldPosition="0">
        <references count="2">
          <reference field="4294967294" count="1" selected="0">
            <x v="0"/>
          </reference>
          <reference field="5" count="1" selected="0">
            <x v="1"/>
          </reference>
        </references>
      </pivotArea>
    </chartFormat>
    <chartFormat chart="10" format="19">
      <pivotArea type="data" outline="0" fieldPosition="0">
        <references count="2">
          <reference field="4294967294" count="1" selected="0">
            <x v="0"/>
          </reference>
          <reference field="5" count="1" selected="0">
            <x v="2"/>
          </reference>
        </references>
      </pivotArea>
    </chartFormat>
    <chartFormat chart="10" format="20">
      <pivotArea type="data" outline="0" fieldPosition="0">
        <references count="2">
          <reference field="4294967294" count="1" selected="0">
            <x v="0"/>
          </reference>
          <reference field="5"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5" count="1" selected="0">
            <x v="0"/>
          </reference>
        </references>
      </pivotArea>
    </chartFormat>
    <chartFormat chart="12" format="18">
      <pivotArea type="data" outline="0" fieldPosition="0">
        <references count="2">
          <reference field="4294967294" count="1" selected="0">
            <x v="0"/>
          </reference>
          <reference field="5" count="1" selected="0">
            <x v="1"/>
          </reference>
        </references>
      </pivotArea>
    </chartFormat>
    <chartFormat chart="12" format="19">
      <pivotArea type="data" outline="0" fieldPosition="0">
        <references count="2">
          <reference field="4294967294" count="1" selected="0">
            <x v="0"/>
          </reference>
          <reference field="5" count="1" selected="0">
            <x v="2"/>
          </reference>
        </references>
      </pivotArea>
    </chartFormat>
    <chartFormat chart="12"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E92F01-5B1E-4B11-A049-9FC29D06C2A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9">
    <pivotField showAll="0"/>
    <pivotField numFmtId="164" showAll="0"/>
    <pivotField axis="axisRow" showAll="0">
      <items count="5">
        <item x="2"/>
        <item x="1"/>
        <item x="3"/>
        <item x="0"/>
        <item t="default"/>
      </items>
    </pivotField>
    <pivotField showAll="0"/>
    <pivotField showAll="0"/>
    <pivotField showAll="0">
      <items count="5">
        <item x="2"/>
        <item x="0"/>
        <item x="1"/>
        <item x="3"/>
        <item t="default"/>
      </items>
    </pivotField>
    <pivotField dataField="1" numFmtId="165" showAll="0"/>
    <pivotField numFmtId="165" showAll="0"/>
    <pivotField showAll="0"/>
  </pivotFields>
  <rowFields count="1">
    <field x="2"/>
  </rowFields>
  <rowItems count="5">
    <i>
      <x/>
    </i>
    <i>
      <x v="1"/>
    </i>
    <i>
      <x v="2"/>
    </i>
    <i>
      <x v="3"/>
    </i>
    <i t="grand">
      <x/>
    </i>
  </rowItems>
  <colItems count="1">
    <i/>
  </colItems>
  <dataFields count="1">
    <dataField name="Sum of Sales" fld="6" baseField="2" baseItem="0" numFmtId="166"/>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5AD6CA-9686-43C2-BE73-45C7ADD12FEF}" sourceName="Region">
  <pivotTables>
    <pivotTable tabId="6" name="PivotTable2"/>
    <pivotTable tabId="6" name="PivotTable3"/>
    <pivotTable tabId="6" name="PivotTable4"/>
  </pivotTables>
  <data>
    <tabular pivotCacheId="38511140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117A12-5AD7-4DB5-B761-D4BFD3CA7BB2}" sourceName="Category">
  <pivotTables>
    <pivotTable tabId="6" name="PivotTable3"/>
    <pivotTable tabId="6" name="PivotTable2"/>
    <pivotTable tabId="6" name="PivotTable4"/>
  </pivotTables>
  <data>
    <tabular pivotCacheId="385111406">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827AE5EE-2C28-4B20-90C0-86AF83871515}" sourceName="Sales">
  <pivotTables>
    <pivotTable tabId="6" name="PivotTable4"/>
  </pivotTables>
  <data>
    <tabular pivotCacheId="385111406">
      <items count="80">
        <i x="0" s="1"/>
        <i x="11" s="1"/>
        <i x="22" s="1"/>
        <i x="33" s="1"/>
        <i x="44" s="1"/>
        <i x="55" s="1"/>
        <i x="1" s="1"/>
        <i x="66" s="1"/>
        <i x="12" s="1"/>
        <i x="77" s="1"/>
        <i x="23" s="1"/>
        <i x="34" s="1"/>
        <i x="45" s="1"/>
        <i x="56" s="1"/>
        <i x="2" s="1"/>
        <i x="67" s="1"/>
        <i x="13" s="1"/>
        <i x="78" s="1"/>
        <i x="24" s="1"/>
        <i x="35" s="1"/>
        <i x="46" s="1"/>
        <i x="57" s="1"/>
        <i x="3" s="1"/>
        <i x="68" s="1"/>
        <i x="14" s="1"/>
        <i x="79" s="1"/>
        <i x="25" s="1"/>
        <i x="36" s="1"/>
        <i x="47" s="1"/>
        <i x="58" s="1"/>
        <i x="4" s="1"/>
        <i x="69" s="1"/>
        <i x="15" s="1"/>
        <i x="26" s="1"/>
        <i x="37" s="1"/>
        <i x="48" s="1"/>
        <i x="59" s="1"/>
        <i x="5" s="1"/>
        <i x="16" s="1"/>
        <i x="70" s="1"/>
        <i x="27" s="1"/>
        <i x="38" s="1"/>
        <i x="49" s="1"/>
        <i x="6" s="1"/>
        <i x="60" s="1"/>
        <i x="17" s="1"/>
        <i x="71" s="1"/>
        <i x="28" s="1"/>
        <i x="39" s="1"/>
        <i x="50" s="1"/>
        <i x="7" s="1"/>
        <i x="61" s="1"/>
        <i x="18" s="1"/>
        <i x="72" s="1"/>
        <i x="29" s="1"/>
        <i x="40" s="1"/>
        <i x="51" s="1"/>
        <i x="8" s="1"/>
        <i x="62" s="1"/>
        <i x="19" s="1"/>
        <i x="73" s="1"/>
        <i x="30" s="1"/>
        <i x="41" s="1"/>
        <i x="52" s="1"/>
        <i x="9" s="1"/>
        <i x="63" s="1"/>
        <i x="74" s="1"/>
        <i x="20" s="1"/>
        <i x="31" s="1"/>
        <i x="42" s="1"/>
        <i x="53" s="1"/>
        <i x="64" s="1"/>
        <i x="10" s="1"/>
        <i x="75" s="1"/>
        <i x="21" s="1"/>
        <i x="32" s="1"/>
        <i x="43" s="1"/>
        <i x="54" s="1"/>
        <i x="65" s="1"/>
        <i x="7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15EEB5-8C7E-4DA3-BC4A-1C249ADBD0D3}" cache="Slicer_Region" caption="Region" rowHeight="234950"/>
  <slicer name="Category" xr10:uid="{5599A086-8036-4E43-96AA-A94D7786C30D}" cache="Slicer_Category" caption="Category" rowHeight="234950"/>
  <slicer name="Sales" xr10:uid="{63452C23-5BD0-4B40-B559-FD453E526D62}" cache="Slicer_Sales"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D4E832-D634-48F3-BEC3-47A937A9CD1D}" cache="Slicer_Region" caption="Region" rowHeight="234950"/>
  <slicer name="Category 1" xr10:uid="{A6D1FA4E-4FB0-484F-BECC-355BA2D83178}" cache="Slicer_Category" caption="Category" rowHeight="234950"/>
  <slicer name="Sales 1" xr10:uid="{E7B2A546-8DCA-4E9E-B939-6E71F93C39BB}" cache="Slicer_Sales" caption="Sales" startItem="2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F9A2821-A7FD-445A-8C3E-61E900456287}" cache="Slicer_Region" caption="Region" rowHeight="234950"/>
  <slicer name="Category 2" xr10:uid="{29AB2191-7092-40CC-B2AA-951CDB7B142C}" cache="Slicer_Category" caption="Category" rowHeight="234950"/>
  <slicer name="Sales 2" xr10:uid="{EC1D7A94-C990-4FEA-A748-AE7AB39B9B32}" cache="Slicer_Sales" caption="Sales" startItem="2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ivotSourceTable" displayName="PivotSourceTable" ref="A3:I84" totalsRowCount="1">
  <tableColumns count="9">
    <tableColumn id="1" xr3:uid="{00000000-0010-0000-0000-000001000000}" name="Order ID"/>
    <tableColumn id="2" xr3:uid="{00000000-0010-0000-0000-000002000000}" name="Order Date"/>
    <tableColumn id="3" xr3:uid="{00000000-0010-0000-0000-000003000000}" name="Region"/>
    <tableColumn id="4" xr3:uid="{00000000-0010-0000-0000-000004000000}" name="Department"/>
    <tableColumn id="5" xr3:uid="{00000000-0010-0000-0000-000005000000}" name="Salesperson"/>
    <tableColumn id="6" xr3:uid="{00000000-0010-0000-0000-000006000000}" name="Category"/>
    <tableColumn id="7" xr3:uid="{00000000-0010-0000-0000-000007000000}" name="Sales" totalsRowFunction="custom" totalsRowDxfId="1">
      <totalsRowFormula>SUM(PivotSourceTable[Sales])</totalsRowFormula>
    </tableColumn>
    <tableColumn id="8" xr3:uid="{00000000-0010-0000-0000-000008000000}" name="Profit" totalsRowFunction="custom" totalsRowDxfId="0">
      <totalsRowFormula>SUM(PivotSourceTable[Profit])</totalsRowFormula>
    </tableColumn>
    <tableColumn id="9" xr3:uid="{00000000-0010-0000-0000-000009000000}" name="Units" totalsRowFunction="custom">
      <totalsRowFormula>COUNT(PivotSourceTable[Units])</totalsRow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0457-8968-4C6E-A8AE-9490942B1461}">
  <dimension ref="A1:C18"/>
  <sheetViews>
    <sheetView workbookViewId="0"/>
  </sheetViews>
  <sheetFormatPr defaultRowHeight="13.8"/>
  <sheetData>
    <row r="1" spans="1:3">
      <c r="A1" s="19"/>
      <c r="B1" s="20"/>
      <c r="C1" s="21"/>
    </row>
    <row r="2" spans="1:3">
      <c r="A2" s="22"/>
      <c r="B2" s="23"/>
      <c r="C2" s="24"/>
    </row>
    <row r="3" spans="1:3">
      <c r="A3" s="22"/>
      <c r="B3" s="23"/>
      <c r="C3" s="24"/>
    </row>
    <row r="4" spans="1:3">
      <c r="A4" s="22"/>
      <c r="B4" s="23"/>
      <c r="C4" s="24"/>
    </row>
    <row r="5" spans="1:3">
      <c r="A5" s="22"/>
      <c r="B5" s="23"/>
      <c r="C5" s="24"/>
    </row>
    <row r="6" spans="1:3">
      <c r="A6" s="22"/>
      <c r="B6" s="23"/>
      <c r="C6" s="24"/>
    </row>
    <row r="7" spans="1:3">
      <c r="A7" s="22"/>
      <c r="B7" s="23"/>
      <c r="C7" s="24"/>
    </row>
    <row r="8" spans="1:3">
      <c r="A8" s="22"/>
      <c r="B8" s="23"/>
      <c r="C8" s="24"/>
    </row>
    <row r="9" spans="1:3">
      <c r="A9" s="22"/>
      <c r="B9" s="23"/>
      <c r="C9" s="24"/>
    </row>
    <row r="10" spans="1:3">
      <c r="A10" s="22"/>
      <c r="B10" s="23"/>
      <c r="C10" s="24"/>
    </row>
    <row r="11" spans="1:3">
      <c r="A11" s="22"/>
      <c r="B11" s="23"/>
      <c r="C11" s="24"/>
    </row>
    <row r="12" spans="1:3">
      <c r="A12" s="22"/>
      <c r="B12" s="23"/>
      <c r="C12" s="24"/>
    </row>
    <row r="13" spans="1:3">
      <c r="A13" s="22"/>
      <c r="B13" s="23"/>
      <c r="C13" s="24"/>
    </row>
    <row r="14" spans="1:3">
      <c r="A14" s="22"/>
      <c r="B14" s="23"/>
      <c r="C14" s="24"/>
    </row>
    <row r="15" spans="1:3">
      <c r="A15" s="22"/>
      <c r="B15" s="23"/>
      <c r="C15" s="24"/>
    </row>
    <row r="16" spans="1:3">
      <c r="A16" s="22"/>
      <c r="B16" s="23"/>
      <c r="C16" s="24"/>
    </row>
    <row r="17" spans="1:3">
      <c r="A17" s="22"/>
      <c r="B17" s="23"/>
      <c r="C17" s="24"/>
    </row>
    <row r="18" spans="1:3">
      <c r="A18" s="25"/>
      <c r="B18" s="26"/>
      <c r="C18" s="2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C6FB-0B26-41A1-AC81-B4CB36EC8F3C}">
  <dimension ref="A3:P24"/>
  <sheetViews>
    <sheetView topLeftCell="A2" workbookViewId="0">
      <selection activeCell="B6" sqref="B6"/>
    </sheetView>
  </sheetViews>
  <sheetFormatPr defaultRowHeight="13.8"/>
  <cols>
    <col min="1" max="1" width="13.09765625" bestFit="1" customWidth="1"/>
    <col min="2" max="2" width="12.3984375" bestFit="1" customWidth="1"/>
    <col min="11" max="11" width="15.796875" bestFit="1" customWidth="1"/>
    <col min="12" max="12" width="16.09765625" bestFit="1" customWidth="1"/>
    <col min="13" max="13" width="6.8984375" bestFit="1" customWidth="1"/>
    <col min="14" max="14" width="6.69921875" bestFit="1" customWidth="1"/>
    <col min="15" max="15" width="7.59765625" bestFit="1" customWidth="1"/>
    <col min="16" max="16" width="11" bestFit="1" customWidth="1"/>
    <col min="17" max="17" width="12.296875" bestFit="1" customWidth="1"/>
    <col min="18" max="18" width="12.3984375" bestFit="1" customWidth="1"/>
    <col min="19" max="19" width="12.296875" bestFit="1" customWidth="1"/>
    <col min="20" max="20" width="17.3984375" bestFit="1" customWidth="1"/>
    <col min="21" max="21" width="17.296875" bestFit="1" customWidth="1"/>
  </cols>
  <sheetData>
    <row r="3" spans="1:2">
      <c r="A3" s="28" t="s">
        <v>167</v>
      </c>
      <c r="B3" t="s">
        <v>114</v>
      </c>
    </row>
    <row r="4" spans="1:2">
      <c r="A4" s="29" t="s">
        <v>20</v>
      </c>
      <c r="B4" s="30">
        <v>960000</v>
      </c>
    </row>
    <row r="5" spans="1:2">
      <c r="A5" s="29" t="s">
        <v>15</v>
      </c>
      <c r="B5" s="30">
        <v>967000</v>
      </c>
    </row>
    <row r="6" spans="1:2">
      <c r="A6" s="29" t="s">
        <v>25</v>
      </c>
      <c r="B6" s="30">
        <v>949000</v>
      </c>
    </row>
    <row r="7" spans="1:2">
      <c r="A7" s="29" t="s">
        <v>11</v>
      </c>
      <c r="B7" s="30">
        <v>978000</v>
      </c>
    </row>
    <row r="8" spans="1:2">
      <c r="A8" s="29" t="s">
        <v>168</v>
      </c>
      <c r="B8" s="30">
        <v>3854000</v>
      </c>
    </row>
    <row r="11" spans="1:2">
      <c r="A11" s="28" t="s">
        <v>167</v>
      </c>
      <c r="B11" t="s">
        <v>114</v>
      </c>
    </row>
    <row r="12" spans="1:2">
      <c r="A12" s="29" t="s">
        <v>23</v>
      </c>
      <c r="B12" s="30">
        <v>960000</v>
      </c>
    </row>
    <row r="13" spans="1:2">
      <c r="A13" s="29" t="s">
        <v>13</v>
      </c>
      <c r="B13" s="30">
        <v>978000</v>
      </c>
    </row>
    <row r="14" spans="1:2">
      <c r="A14" s="29" t="s">
        <v>18</v>
      </c>
      <c r="B14" s="30">
        <v>967000</v>
      </c>
    </row>
    <row r="15" spans="1:2">
      <c r="A15" s="29" t="s">
        <v>27</v>
      </c>
      <c r="B15" s="30">
        <v>949000</v>
      </c>
    </row>
    <row r="16" spans="1:2">
      <c r="A16" s="29" t="s">
        <v>168</v>
      </c>
      <c r="B16" s="30">
        <v>3854000</v>
      </c>
    </row>
    <row r="18" spans="11:16">
      <c r="K18" s="28" t="s">
        <v>121</v>
      </c>
      <c r="L18" s="28" t="s">
        <v>169</v>
      </c>
    </row>
    <row r="19" spans="11:16">
      <c r="K19" s="28" t="s">
        <v>167</v>
      </c>
      <c r="L19" t="s">
        <v>23</v>
      </c>
      <c r="M19" t="s">
        <v>13</v>
      </c>
      <c r="N19" t="s">
        <v>18</v>
      </c>
      <c r="O19" t="s">
        <v>27</v>
      </c>
      <c r="P19" t="s">
        <v>168</v>
      </c>
    </row>
    <row r="20" spans="11:16">
      <c r="K20" s="29" t="s">
        <v>20</v>
      </c>
      <c r="L20" s="30">
        <v>8159.3</v>
      </c>
      <c r="M20" s="30"/>
      <c r="N20" s="30"/>
      <c r="O20" s="30"/>
      <c r="P20" s="30">
        <v>8159.3</v>
      </c>
    </row>
    <row r="21" spans="11:16">
      <c r="K21" s="29" t="s">
        <v>15</v>
      </c>
      <c r="L21" s="30"/>
      <c r="M21" s="30"/>
      <c r="N21" s="30">
        <v>7010.4</v>
      </c>
      <c r="O21" s="30"/>
      <c r="P21" s="30">
        <v>7010.4</v>
      </c>
    </row>
    <row r="22" spans="11:16">
      <c r="K22" s="29" t="s">
        <v>25</v>
      </c>
      <c r="L22" s="30"/>
      <c r="M22" s="30"/>
      <c r="N22" s="30"/>
      <c r="O22" s="30">
        <v>9252.5</v>
      </c>
      <c r="P22" s="30">
        <v>9252.5</v>
      </c>
    </row>
    <row r="23" spans="11:16">
      <c r="K23" s="29" t="s">
        <v>11</v>
      </c>
      <c r="L23" s="30"/>
      <c r="M23" s="30">
        <v>5868</v>
      </c>
      <c r="N23" s="30"/>
      <c r="O23" s="30"/>
      <c r="P23" s="30">
        <v>5868</v>
      </c>
    </row>
    <row r="24" spans="11:16">
      <c r="K24" s="29" t="s">
        <v>168</v>
      </c>
      <c r="L24" s="30">
        <v>8159.3</v>
      </c>
      <c r="M24" s="30">
        <v>5868</v>
      </c>
      <c r="N24" s="30">
        <v>7010.4</v>
      </c>
      <c r="O24" s="30">
        <v>9252.5</v>
      </c>
      <c r="P24" s="30">
        <v>7572.55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CF0E-5483-4AB8-B68B-D3EA287A8F2C}">
  <dimension ref="C14:T19"/>
  <sheetViews>
    <sheetView showGridLines="0" showRowColHeaders="0" zoomScale="69" workbookViewId="0">
      <selection activeCell="AA23" sqref="AA23"/>
      <extLst>
        <ext xmlns:xlsdti="http://schemas.microsoft.com/office/spreadsheetml/2023/showDataTypeIcons" uri="{77bfe23e-c014-4d31-8a63-9c772dbf06b6}">
          <xlsdti:showDataTypeIcons visible="0"/>
        </ext>
      </extLst>
    </sheetView>
  </sheetViews>
  <sheetFormatPr defaultRowHeight="13.8"/>
  <sheetData>
    <row r="14" spans="3:20">
      <c r="H14" s="32">
        <f>Business_Transactions!H84</f>
        <v>605804</v>
      </c>
      <c r="I14" s="32"/>
      <c r="J14" s="32"/>
    </row>
    <row r="15" spans="3:20">
      <c r="H15" s="32"/>
      <c r="I15" s="32"/>
      <c r="J15" s="32"/>
      <c r="M15" s="32">
        <f>Business_Transactions!I84</f>
        <v>80</v>
      </c>
      <c r="N15" s="32"/>
      <c r="O15" s="32"/>
      <c r="Q15" s="32">
        <f>Business_Transactions!I85</f>
        <v>629</v>
      </c>
      <c r="R15" s="32"/>
      <c r="S15" s="32"/>
      <c r="T15" s="32"/>
    </row>
    <row r="16" spans="3:20">
      <c r="C16" s="32">
        <f>Business_Transactions!G84</f>
        <v>3854000</v>
      </c>
      <c r="D16" s="32"/>
      <c r="E16" s="32"/>
      <c r="F16" s="32"/>
      <c r="H16" s="32"/>
      <c r="I16" s="32"/>
      <c r="J16" s="32"/>
      <c r="M16" s="32"/>
      <c r="N16" s="32"/>
      <c r="O16" s="32"/>
      <c r="Q16" s="32"/>
      <c r="R16" s="32"/>
      <c r="S16" s="32"/>
      <c r="T16" s="32"/>
    </row>
    <row r="17" spans="3:20">
      <c r="C17" s="32"/>
      <c r="D17" s="32"/>
      <c r="E17" s="32"/>
      <c r="F17" s="32"/>
      <c r="H17" s="32"/>
      <c r="I17" s="32"/>
      <c r="J17" s="32"/>
      <c r="M17" s="32"/>
      <c r="N17" s="32"/>
      <c r="O17" s="32"/>
      <c r="Q17" s="32"/>
      <c r="R17" s="32"/>
      <c r="S17" s="32"/>
      <c r="T17" s="32"/>
    </row>
    <row r="18" spans="3:20" ht="44.4">
      <c r="C18" s="32"/>
      <c r="D18" s="32"/>
      <c r="E18" s="32"/>
      <c r="F18" s="32"/>
      <c r="G18" s="33"/>
      <c r="H18" s="32"/>
      <c r="I18" s="32"/>
      <c r="J18" s="32"/>
      <c r="M18" s="32"/>
      <c r="N18" s="32"/>
      <c r="O18" s="32"/>
      <c r="Q18" s="32"/>
      <c r="R18" s="32"/>
      <c r="S18" s="32"/>
      <c r="T18" s="32"/>
    </row>
    <row r="19" spans="3:20">
      <c r="C19" s="32"/>
      <c r="D19" s="32"/>
      <c r="E19" s="32"/>
      <c r="F19" s="32"/>
      <c r="G19" s="34"/>
      <c r="H19" s="32"/>
      <c r="I19" s="32"/>
      <c r="J19" s="32"/>
      <c r="M19" s="32"/>
      <c r="N19" s="32"/>
      <c r="O19" s="32"/>
      <c r="Q19" s="32"/>
      <c r="R19" s="32"/>
      <c r="S19" s="32"/>
      <c r="T19" s="32"/>
    </row>
  </sheetData>
  <mergeCells count="4">
    <mergeCell ref="C16:F19"/>
    <mergeCell ref="H14:J19"/>
    <mergeCell ref="M15:O19"/>
    <mergeCell ref="Q15:T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72C1-8435-48C3-8AFA-DDA66EB854F1}">
  <dimension ref="A1"/>
  <sheetViews>
    <sheetView showGridLines="0" showRowColHeaders="0" tabSelected="1" zoomScale="80" workbookViewId="0">
      <selection activeCell="AB35" sqref="AB35"/>
      <extLst>
        <ext xmlns:xlsdti="http://schemas.microsoft.com/office/spreadsheetml/2023/showDataTypeIcons" uri="{77bfe23e-c014-4d31-8a63-9c772dbf06b6}">
          <xlsdti:showDataTypeIcons visible="0"/>
        </ext>
      </extLst>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opLeftCell="A57" workbookViewId="0">
      <selection activeCell="I86" sqref="I86"/>
    </sheetView>
  </sheetViews>
  <sheetFormatPr defaultRowHeight="13.8"/>
  <cols>
    <col min="1" max="1" width="11" customWidth="1"/>
    <col min="2" max="2" width="14" customWidth="1"/>
    <col min="3" max="4" width="15" customWidth="1"/>
    <col min="5" max="6" width="16" customWidth="1"/>
    <col min="7" max="8" width="14" customWidth="1"/>
    <col min="9" max="9" width="10" customWidth="1"/>
  </cols>
  <sheetData>
    <row r="1" spans="1:9" ht="22.35" customHeight="1">
      <c r="A1" s="31" t="s">
        <v>0</v>
      </c>
      <c r="B1" s="31"/>
      <c r="C1" s="31"/>
      <c r="D1" s="31"/>
      <c r="E1" s="31"/>
      <c r="F1" s="31"/>
      <c r="G1" s="31"/>
      <c r="H1" s="31"/>
      <c r="I1" s="31"/>
    </row>
    <row r="2" spans="1:9" ht="12" customHeight="1"/>
    <row r="3" spans="1:9">
      <c r="A3" s="3" t="s">
        <v>1</v>
      </c>
      <c r="B3" s="4" t="s">
        <v>2</v>
      </c>
      <c r="C3" s="4" t="s">
        <v>3</v>
      </c>
      <c r="D3" s="4" t="s">
        <v>4</v>
      </c>
      <c r="E3" s="4" t="s">
        <v>5</v>
      </c>
      <c r="F3" s="4" t="s">
        <v>6</v>
      </c>
      <c r="G3" s="4" t="s">
        <v>7</v>
      </c>
      <c r="H3" s="4" t="s">
        <v>8</v>
      </c>
      <c r="I3" s="5" t="s">
        <v>9</v>
      </c>
    </row>
    <row r="4" spans="1:9">
      <c r="A4" s="6" t="s">
        <v>10</v>
      </c>
      <c r="B4" s="1">
        <v>46023</v>
      </c>
      <c r="C4" t="s">
        <v>11</v>
      </c>
      <c r="D4" t="s">
        <v>7</v>
      </c>
      <c r="E4" t="s">
        <v>12</v>
      </c>
      <c r="F4" t="s">
        <v>13</v>
      </c>
      <c r="G4" s="2">
        <v>18000</v>
      </c>
      <c r="H4" s="2">
        <v>2160</v>
      </c>
      <c r="I4" s="7">
        <v>2</v>
      </c>
    </row>
    <row r="5" spans="1:9">
      <c r="A5" s="6" t="s">
        <v>14</v>
      </c>
      <c r="B5" s="1">
        <v>46026</v>
      </c>
      <c r="C5" t="s">
        <v>15</v>
      </c>
      <c r="D5" t="s">
        <v>16</v>
      </c>
      <c r="E5" t="s">
        <v>17</v>
      </c>
      <c r="F5" t="s">
        <v>18</v>
      </c>
      <c r="G5" s="2">
        <v>23500</v>
      </c>
      <c r="H5" s="2">
        <v>3407</v>
      </c>
      <c r="I5" s="7">
        <v>3</v>
      </c>
    </row>
    <row r="6" spans="1:9">
      <c r="A6" s="6" t="s">
        <v>19</v>
      </c>
      <c r="B6" s="1">
        <v>46029</v>
      </c>
      <c r="C6" t="s">
        <v>20</v>
      </c>
      <c r="D6" t="s">
        <v>21</v>
      </c>
      <c r="E6" t="s">
        <v>22</v>
      </c>
      <c r="F6" t="s">
        <v>23</v>
      </c>
      <c r="G6" s="2">
        <v>29000</v>
      </c>
      <c r="H6" s="2">
        <v>4930</v>
      </c>
      <c r="I6" s="7">
        <v>4</v>
      </c>
    </row>
    <row r="7" spans="1:9">
      <c r="A7" s="6" t="s">
        <v>24</v>
      </c>
      <c r="B7" s="1">
        <v>46032</v>
      </c>
      <c r="C7" t="s">
        <v>25</v>
      </c>
      <c r="D7" t="s">
        <v>7</v>
      </c>
      <c r="E7" t="s">
        <v>26</v>
      </c>
      <c r="F7" t="s">
        <v>27</v>
      </c>
      <c r="G7" s="2">
        <v>34500</v>
      </c>
      <c r="H7" s="2">
        <v>6727</v>
      </c>
      <c r="I7" s="7">
        <v>5</v>
      </c>
    </row>
    <row r="8" spans="1:9">
      <c r="A8" s="6" t="s">
        <v>28</v>
      </c>
      <c r="B8" s="1">
        <v>46035</v>
      </c>
      <c r="C8" t="s">
        <v>11</v>
      </c>
      <c r="D8" t="s">
        <v>16</v>
      </c>
      <c r="E8" t="s">
        <v>29</v>
      </c>
      <c r="F8" t="s">
        <v>13</v>
      </c>
      <c r="G8" s="2">
        <v>40000</v>
      </c>
      <c r="H8" s="2">
        <v>4800</v>
      </c>
      <c r="I8" s="7">
        <v>6</v>
      </c>
    </row>
    <row r="9" spans="1:9">
      <c r="A9" s="6" t="s">
        <v>30</v>
      </c>
      <c r="B9" s="1">
        <v>46038</v>
      </c>
      <c r="C9" t="s">
        <v>15</v>
      </c>
      <c r="D9" t="s">
        <v>21</v>
      </c>
      <c r="E9" t="s">
        <v>31</v>
      </c>
      <c r="F9" t="s">
        <v>18</v>
      </c>
      <c r="G9" s="2">
        <v>45500</v>
      </c>
      <c r="H9" s="2">
        <v>6597</v>
      </c>
      <c r="I9" s="7">
        <v>7</v>
      </c>
    </row>
    <row r="10" spans="1:9">
      <c r="A10" s="6" t="s">
        <v>32</v>
      </c>
      <c r="B10" s="1">
        <v>46041</v>
      </c>
      <c r="C10" t="s">
        <v>20</v>
      </c>
      <c r="D10" t="s">
        <v>7</v>
      </c>
      <c r="E10" t="s">
        <v>12</v>
      </c>
      <c r="F10" t="s">
        <v>23</v>
      </c>
      <c r="G10" s="2">
        <v>51000</v>
      </c>
      <c r="H10" s="2">
        <v>8670</v>
      </c>
      <c r="I10" s="7">
        <v>8</v>
      </c>
    </row>
    <row r="11" spans="1:9">
      <c r="A11" s="6" t="s">
        <v>33</v>
      </c>
      <c r="B11" s="1">
        <v>46044</v>
      </c>
      <c r="C11" t="s">
        <v>25</v>
      </c>
      <c r="D11" t="s">
        <v>16</v>
      </c>
      <c r="E11" t="s">
        <v>17</v>
      </c>
      <c r="F11" t="s">
        <v>27</v>
      </c>
      <c r="G11" s="2">
        <v>56500</v>
      </c>
      <c r="H11" s="2">
        <v>11017</v>
      </c>
      <c r="I11" s="7">
        <v>9</v>
      </c>
    </row>
    <row r="12" spans="1:9">
      <c r="A12" s="6" t="s">
        <v>34</v>
      </c>
      <c r="B12" s="1">
        <v>46047</v>
      </c>
      <c r="C12" t="s">
        <v>11</v>
      </c>
      <c r="D12" t="s">
        <v>21</v>
      </c>
      <c r="E12" t="s">
        <v>22</v>
      </c>
      <c r="F12" t="s">
        <v>13</v>
      </c>
      <c r="G12" s="2">
        <v>62000</v>
      </c>
      <c r="H12" s="2">
        <v>7440</v>
      </c>
      <c r="I12" s="7">
        <v>10</v>
      </c>
    </row>
    <row r="13" spans="1:9">
      <c r="A13" s="6" t="s">
        <v>35</v>
      </c>
      <c r="B13" s="1">
        <v>46050</v>
      </c>
      <c r="C13" t="s">
        <v>15</v>
      </c>
      <c r="D13" t="s">
        <v>7</v>
      </c>
      <c r="E13" t="s">
        <v>26</v>
      </c>
      <c r="F13" t="s">
        <v>18</v>
      </c>
      <c r="G13" s="2">
        <v>67500</v>
      </c>
      <c r="H13" s="2">
        <v>9787</v>
      </c>
      <c r="I13" s="7">
        <v>11</v>
      </c>
    </row>
    <row r="14" spans="1:9">
      <c r="A14" s="6" t="s">
        <v>36</v>
      </c>
      <c r="B14" s="1">
        <v>46053</v>
      </c>
      <c r="C14" t="s">
        <v>20</v>
      </c>
      <c r="D14" t="s">
        <v>16</v>
      </c>
      <c r="E14" t="s">
        <v>29</v>
      </c>
      <c r="F14" t="s">
        <v>23</v>
      </c>
      <c r="G14" s="2">
        <v>74000</v>
      </c>
      <c r="H14" s="2">
        <v>12579</v>
      </c>
      <c r="I14" s="7">
        <v>12</v>
      </c>
    </row>
    <row r="15" spans="1:9">
      <c r="A15" s="6" t="s">
        <v>37</v>
      </c>
      <c r="B15" s="1">
        <v>46056</v>
      </c>
      <c r="C15" t="s">
        <v>25</v>
      </c>
      <c r="D15" t="s">
        <v>21</v>
      </c>
      <c r="E15" t="s">
        <v>31</v>
      </c>
      <c r="F15" t="s">
        <v>27</v>
      </c>
      <c r="G15" s="2">
        <v>19000</v>
      </c>
      <c r="H15" s="2">
        <v>3705</v>
      </c>
      <c r="I15" s="7">
        <v>13</v>
      </c>
    </row>
    <row r="16" spans="1:9">
      <c r="A16" s="6" t="s">
        <v>38</v>
      </c>
      <c r="B16" s="1">
        <v>46059</v>
      </c>
      <c r="C16" t="s">
        <v>11</v>
      </c>
      <c r="D16" t="s">
        <v>7</v>
      </c>
      <c r="E16" t="s">
        <v>12</v>
      </c>
      <c r="F16" t="s">
        <v>13</v>
      </c>
      <c r="G16" s="2">
        <v>24500</v>
      </c>
      <c r="H16" s="2">
        <v>2940</v>
      </c>
      <c r="I16" s="7">
        <v>14</v>
      </c>
    </row>
    <row r="17" spans="1:9">
      <c r="A17" s="6" t="s">
        <v>39</v>
      </c>
      <c r="B17" s="1">
        <v>46062</v>
      </c>
      <c r="C17" t="s">
        <v>15</v>
      </c>
      <c r="D17" t="s">
        <v>16</v>
      </c>
      <c r="E17" t="s">
        <v>17</v>
      </c>
      <c r="F17" t="s">
        <v>18</v>
      </c>
      <c r="G17" s="2">
        <v>30000</v>
      </c>
      <c r="H17" s="2">
        <v>4350</v>
      </c>
      <c r="I17" s="7">
        <v>2</v>
      </c>
    </row>
    <row r="18" spans="1:9">
      <c r="A18" s="6" t="s">
        <v>40</v>
      </c>
      <c r="B18" s="1">
        <v>46065</v>
      </c>
      <c r="C18" t="s">
        <v>20</v>
      </c>
      <c r="D18" t="s">
        <v>21</v>
      </c>
      <c r="E18" t="s">
        <v>22</v>
      </c>
      <c r="F18" t="s">
        <v>23</v>
      </c>
      <c r="G18" s="2">
        <v>35500</v>
      </c>
      <c r="H18" s="2">
        <v>6034</v>
      </c>
      <c r="I18" s="7">
        <v>3</v>
      </c>
    </row>
    <row r="19" spans="1:9">
      <c r="A19" s="6" t="s">
        <v>41</v>
      </c>
      <c r="B19" s="1">
        <v>46068</v>
      </c>
      <c r="C19" t="s">
        <v>25</v>
      </c>
      <c r="D19" t="s">
        <v>7</v>
      </c>
      <c r="E19" t="s">
        <v>26</v>
      </c>
      <c r="F19" t="s">
        <v>27</v>
      </c>
      <c r="G19" s="2">
        <v>41000</v>
      </c>
      <c r="H19" s="2">
        <v>7995</v>
      </c>
      <c r="I19" s="7">
        <v>4</v>
      </c>
    </row>
    <row r="20" spans="1:9">
      <c r="A20" s="6" t="s">
        <v>42</v>
      </c>
      <c r="B20" s="1">
        <v>46071</v>
      </c>
      <c r="C20" t="s">
        <v>11</v>
      </c>
      <c r="D20" t="s">
        <v>16</v>
      </c>
      <c r="E20" t="s">
        <v>29</v>
      </c>
      <c r="F20" t="s">
        <v>13</v>
      </c>
      <c r="G20" s="2">
        <v>46500</v>
      </c>
      <c r="H20" s="2">
        <v>5580</v>
      </c>
      <c r="I20" s="7">
        <v>5</v>
      </c>
    </row>
    <row r="21" spans="1:9">
      <c r="A21" s="6" t="s">
        <v>43</v>
      </c>
      <c r="B21" s="1">
        <v>46074</v>
      </c>
      <c r="C21" t="s">
        <v>15</v>
      </c>
      <c r="D21" t="s">
        <v>21</v>
      </c>
      <c r="E21" t="s">
        <v>31</v>
      </c>
      <c r="F21" t="s">
        <v>18</v>
      </c>
      <c r="G21" s="2">
        <v>52000</v>
      </c>
      <c r="H21" s="2">
        <v>7539</v>
      </c>
      <c r="I21" s="7">
        <v>6</v>
      </c>
    </row>
    <row r="22" spans="1:9">
      <c r="A22" s="6" t="s">
        <v>44</v>
      </c>
      <c r="B22" s="1">
        <v>46077</v>
      </c>
      <c r="C22" t="s">
        <v>20</v>
      </c>
      <c r="D22" t="s">
        <v>7</v>
      </c>
      <c r="E22" t="s">
        <v>12</v>
      </c>
      <c r="F22" t="s">
        <v>23</v>
      </c>
      <c r="G22" s="2">
        <v>57500</v>
      </c>
      <c r="H22" s="2">
        <v>9775</v>
      </c>
      <c r="I22" s="7">
        <v>7</v>
      </c>
    </row>
    <row r="23" spans="1:9">
      <c r="A23" s="6" t="s">
        <v>45</v>
      </c>
      <c r="B23" s="1">
        <v>46080</v>
      </c>
      <c r="C23" t="s">
        <v>25</v>
      </c>
      <c r="D23" t="s">
        <v>16</v>
      </c>
      <c r="E23" t="s">
        <v>17</v>
      </c>
      <c r="F23" t="s">
        <v>27</v>
      </c>
      <c r="G23" s="2">
        <v>63000</v>
      </c>
      <c r="H23" s="2">
        <v>12285</v>
      </c>
      <c r="I23" s="7">
        <v>8</v>
      </c>
    </row>
    <row r="24" spans="1:9">
      <c r="A24" s="6" t="s">
        <v>46</v>
      </c>
      <c r="B24" s="1">
        <v>46083</v>
      </c>
      <c r="C24" t="s">
        <v>11</v>
      </c>
      <c r="D24" t="s">
        <v>21</v>
      </c>
      <c r="E24" t="s">
        <v>22</v>
      </c>
      <c r="F24" t="s">
        <v>13</v>
      </c>
      <c r="G24" s="2">
        <v>69500</v>
      </c>
      <c r="H24" s="2">
        <v>8340</v>
      </c>
      <c r="I24" s="7">
        <v>9</v>
      </c>
    </row>
    <row r="25" spans="1:9">
      <c r="A25" s="6" t="s">
        <v>47</v>
      </c>
      <c r="B25" s="1">
        <v>46086</v>
      </c>
      <c r="C25" t="s">
        <v>15</v>
      </c>
      <c r="D25" t="s">
        <v>7</v>
      </c>
      <c r="E25" t="s">
        <v>26</v>
      </c>
      <c r="F25" t="s">
        <v>18</v>
      </c>
      <c r="G25" s="2">
        <v>75000</v>
      </c>
      <c r="H25" s="2">
        <v>10875</v>
      </c>
      <c r="I25" s="7">
        <v>10</v>
      </c>
    </row>
    <row r="26" spans="1:9">
      <c r="A26" s="6" t="s">
        <v>48</v>
      </c>
      <c r="B26" s="1">
        <v>46089</v>
      </c>
      <c r="C26" t="s">
        <v>20</v>
      </c>
      <c r="D26" t="s">
        <v>16</v>
      </c>
      <c r="E26" t="s">
        <v>29</v>
      </c>
      <c r="F26" t="s">
        <v>23</v>
      </c>
      <c r="G26" s="2">
        <v>20000</v>
      </c>
      <c r="H26" s="2">
        <v>3399</v>
      </c>
      <c r="I26" s="7">
        <v>11</v>
      </c>
    </row>
    <row r="27" spans="1:9">
      <c r="A27" s="6" t="s">
        <v>49</v>
      </c>
      <c r="B27" s="1">
        <v>46092</v>
      </c>
      <c r="C27" t="s">
        <v>25</v>
      </c>
      <c r="D27" t="s">
        <v>21</v>
      </c>
      <c r="E27" t="s">
        <v>31</v>
      </c>
      <c r="F27" t="s">
        <v>27</v>
      </c>
      <c r="G27" s="2">
        <v>25500</v>
      </c>
      <c r="H27" s="2">
        <v>4972</v>
      </c>
      <c r="I27" s="7">
        <v>12</v>
      </c>
    </row>
    <row r="28" spans="1:9">
      <c r="A28" s="6" t="s">
        <v>50</v>
      </c>
      <c r="B28" s="1">
        <v>46095</v>
      </c>
      <c r="C28" t="s">
        <v>11</v>
      </c>
      <c r="D28" t="s">
        <v>7</v>
      </c>
      <c r="E28" t="s">
        <v>12</v>
      </c>
      <c r="F28" t="s">
        <v>13</v>
      </c>
      <c r="G28" s="2">
        <v>31000</v>
      </c>
      <c r="H28" s="2">
        <v>3720</v>
      </c>
      <c r="I28" s="7">
        <v>13</v>
      </c>
    </row>
    <row r="29" spans="1:9">
      <c r="A29" s="6" t="s">
        <v>51</v>
      </c>
      <c r="B29" s="1">
        <v>46098</v>
      </c>
      <c r="C29" t="s">
        <v>15</v>
      </c>
      <c r="D29" t="s">
        <v>16</v>
      </c>
      <c r="E29" t="s">
        <v>17</v>
      </c>
      <c r="F29" t="s">
        <v>18</v>
      </c>
      <c r="G29" s="2">
        <v>36500</v>
      </c>
      <c r="H29" s="2">
        <v>5292</v>
      </c>
      <c r="I29" s="7">
        <v>14</v>
      </c>
    </row>
    <row r="30" spans="1:9">
      <c r="A30" s="6" t="s">
        <v>52</v>
      </c>
      <c r="B30" s="1">
        <v>46101</v>
      </c>
      <c r="C30" t="s">
        <v>20</v>
      </c>
      <c r="D30" t="s">
        <v>21</v>
      </c>
      <c r="E30" t="s">
        <v>22</v>
      </c>
      <c r="F30" t="s">
        <v>23</v>
      </c>
      <c r="G30" s="2">
        <v>42000</v>
      </c>
      <c r="H30" s="2">
        <v>7139</v>
      </c>
      <c r="I30" s="7">
        <v>2</v>
      </c>
    </row>
    <row r="31" spans="1:9">
      <c r="A31" s="6" t="s">
        <v>53</v>
      </c>
      <c r="B31" s="1">
        <v>46104</v>
      </c>
      <c r="C31" t="s">
        <v>25</v>
      </c>
      <c r="D31" t="s">
        <v>7</v>
      </c>
      <c r="E31" t="s">
        <v>26</v>
      </c>
      <c r="F31" t="s">
        <v>27</v>
      </c>
      <c r="G31" s="2">
        <v>47500</v>
      </c>
      <c r="H31" s="2">
        <v>9262</v>
      </c>
      <c r="I31" s="7">
        <v>3</v>
      </c>
    </row>
    <row r="32" spans="1:9">
      <c r="A32" s="6" t="s">
        <v>54</v>
      </c>
      <c r="B32" s="1">
        <v>46107</v>
      </c>
      <c r="C32" t="s">
        <v>11</v>
      </c>
      <c r="D32" t="s">
        <v>16</v>
      </c>
      <c r="E32" t="s">
        <v>29</v>
      </c>
      <c r="F32" t="s">
        <v>13</v>
      </c>
      <c r="G32" s="2">
        <v>53000</v>
      </c>
      <c r="H32" s="2">
        <v>6360</v>
      </c>
      <c r="I32" s="7">
        <v>4</v>
      </c>
    </row>
    <row r="33" spans="1:9">
      <c r="A33" s="6" t="s">
        <v>55</v>
      </c>
      <c r="B33" s="1">
        <v>46110</v>
      </c>
      <c r="C33" t="s">
        <v>15</v>
      </c>
      <c r="D33" t="s">
        <v>21</v>
      </c>
      <c r="E33" t="s">
        <v>31</v>
      </c>
      <c r="F33" t="s">
        <v>18</v>
      </c>
      <c r="G33" s="2">
        <v>58500</v>
      </c>
      <c r="H33" s="2">
        <v>8482</v>
      </c>
      <c r="I33" s="7">
        <v>5</v>
      </c>
    </row>
    <row r="34" spans="1:9">
      <c r="A34" s="6" t="s">
        <v>56</v>
      </c>
      <c r="B34" s="1">
        <v>46113</v>
      </c>
      <c r="C34" t="s">
        <v>20</v>
      </c>
      <c r="D34" t="s">
        <v>7</v>
      </c>
      <c r="E34" t="s">
        <v>12</v>
      </c>
      <c r="F34" t="s">
        <v>23</v>
      </c>
      <c r="G34" s="2">
        <v>65000</v>
      </c>
      <c r="H34" s="2">
        <v>11049</v>
      </c>
      <c r="I34" s="7">
        <v>6</v>
      </c>
    </row>
    <row r="35" spans="1:9">
      <c r="A35" s="6" t="s">
        <v>57</v>
      </c>
      <c r="B35" s="1">
        <v>46116</v>
      </c>
      <c r="C35" t="s">
        <v>25</v>
      </c>
      <c r="D35" t="s">
        <v>16</v>
      </c>
      <c r="E35" t="s">
        <v>17</v>
      </c>
      <c r="F35" t="s">
        <v>27</v>
      </c>
      <c r="G35" s="2">
        <v>70500</v>
      </c>
      <c r="H35" s="2">
        <v>13747</v>
      </c>
      <c r="I35" s="7">
        <v>7</v>
      </c>
    </row>
    <row r="36" spans="1:9">
      <c r="A36" s="6" t="s">
        <v>58</v>
      </c>
      <c r="B36" s="1">
        <v>46119</v>
      </c>
      <c r="C36" t="s">
        <v>11</v>
      </c>
      <c r="D36" t="s">
        <v>21</v>
      </c>
      <c r="E36" t="s">
        <v>22</v>
      </c>
      <c r="F36" t="s">
        <v>13</v>
      </c>
      <c r="G36" s="2">
        <v>76000</v>
      </c>
      <c r="H36" s="2">
        <v>9120</v>
      </c>
      <c r="I36" s="7">
        <v>8</v>
      </c>
    </row>
    <row r="37" spans="1:9">
      <c r="A37" s="6" t="s">
        <v>59</v>
      </c>
      <c r="B37" s="1">
        <v>46122</v>
      </c>
      <c r="C37" t="s">
        <v>15</v>
      </c>
      <c r="D37" t="s">
        <v>7</v>
      </c>
      <c r="E37" t="s">
        <v>26</v>
      </c>
      <c r="F37" t="s">
        <v>18</v>
      </c>
      <c r="G37" s="2">
        <v>21000</v>
      </c>
      <c r="H37" s="2">
        <v>3045</v>
      </c>
      <c r="I37" s="7">
        <v>9</v>
      </c>
    </row>
    <row r="38" spans="1:9">
      <c r="A38" s="6" t="s">
        <v>60</v>
      </c>
      <c r="B38" s="1">
        <v>46125</v>
      </c>
      <c r="C38" t="s">
        <v>20</v>
      </c>
      <c r="D38" t="s">
        <v>16</v>
      </c>
      <c r="E38" t="s">
        <v>29</v>
      </c>
      <c r="F38" t="s">
        <v>23</v>
      </c>
      <c r="G38" s="2">
        <v>26500</v>
      </c>
      <c r="H38" s="2">
        <v>4505</v>
      </c>
      <c r="I38" s="7">
        <v>10</v>
      </c>
    </row>
    <row r="39" spans="1:9">
      <c r="A39" s="6" t="s">
        <v>61</v>
      </c>
      <c r="B39" s="1">
        <v>46128</v>
      </c>
      <c r="C39" t="s">
        <v>25</v>
      </c>
      <c r="D39" t="s">
        <v>21</v>
      </c>
      <c r="E39" t="s">
        <v>31</v>
      </c>
      <c r="F39" t="s">
        <v>27</v>
      </c>
      <c r="G39" s="2">
        <v>32000</v>
      </c>
      <c r="H39" s="2">
        <v>6240</v>
      </c>
      <c r="I39" s="7">
        <v>11</v>
      </c>
    </row>
    <row r="40" spans="1:9">
      <c r="A40" s="6" t="s">
        <v>62</v>
      </c>
      <c r="B40" s="1">
        <v>46131</v>
      </c>
      <c r="C40" t="s">
        <v>11</v>
      </c>
      <c r="D40" t="s">
        <v>7</v>
      </c>
      <c r="E40" t="s">
        <v>12</v>
      </c>
      <c r="F40" t="s">
        <v>13</v>
      </c>
      <c r="G40" s="2">
        <v>37500</v>
      </c>
      <c r="H40" s="2">
        <v>4500</v>
      </c>
      <c r="I40" s="7">
        <v>12</v>
      </c>
    </row>
    <row r="41" spans="1:9">
      <c r="A41" s="6" t="s">
        <v>63</v>
      </c>
      <c r="B41" s="1">
        <v>46134</v>
      </c>
      <c r="C41" t="s">
        <v>15</v>
      </c>
      <c r="D41" t="s">
        <v>16</v>
      </c>
      <c r="E41" t="s">
        <v>17</v>
      </c>
      <c r="F41" t="s">
        <v>18</v>
      </c>
      <c r="G41" s="2">
        <v>43000</v>
      </c>
      <c r="H41" s="2">
        <v>6235</v>
      </c>
      <c r="I41" s="7">
        <v>13</v>
      </c>
    </row>
    <row r="42" spans="1:9">
      <c r="A42" s="6" t="s">
        <v>64</v>
      </c>
      <c r="B42" s="1">
        <v>46137</v>
      </c>
      <c r="C42" t="s">
        <v>20</v>
      </c>
      <c r="D42" t="s">
        <v>21</v>
      </c>
      <c r="E42" t="s">
        <v>22</v>
      </c>
      <c r="F42" t="s">
        <v>23</v>
      </c>
      <c r="G42" s="2">
        <v>48500</v>
      </c>
      <c r="H42" s="2">
        <v>8245</v>
      </c>
      <c r="I42" s="7">
        <v>14</v>
      </c>
    </row>
    <row r="43" spans="1:9">
      <c r="A43" s="6" t="s">
        <v>65</v>
      </c>
      <c r="B43" s="1">
        <v>46140</v>
      </c>
      <c r="C43" t="s">
        <v>25</v>
      </c>
      <c r="D43" t="s">
        <v>7</v>
      </c>
      <c r="E43" t="s">
        <v>26</v>
      </c>
      <c r="F43" t="s">
        <v>27</v>
      </c>
      <c r="G43" s="2">
        <v>54000</v>
      </c>
      <c r="H43" s="2">
        <v>10530</v>
      </c>
      <c r="I43" s="7">
        <v>2</v>
      </c>
    </row>
    <row r="44" spans="1:9">
      <c r="A44" s="6" t="s">
        <v>66</v>
      </c>
      <c r="B44" s="1">
        <v>46143</v>
      </c>
      <c r="C44" t="s">
        <v>11</v>
      </c>
      <c r="D44" t="s">
        <v>16</v>
      </c>
      <c r="E44" t="s">
        <v>29</v>
      </c>
      <c r="F44" t="s">
        <v>13</v>
      </c>
      <c r="G44" s="2">
        <v>60500</v>
      </c>
      <c r="H44" s="2">
        <v>7260</v>
      </c>
      <c r="I44" s="7">
        <v>3</v>
      </c>
    </row>
    <row r="45" spans="1:9">
      <c r="A45" s="6" t="s">
        <v>67</v>
      </c>
      <c r="B45" s="1">
        <v>46146</v>
      </c>
      <c r="C45" t="s">
        <v>15</v>
      </c>
      <c r="D45" t="s">
        <v>21</v>
      </c>
      <c r="E45" t="s">
        <v>31</v>
      </c>
      <c r="F45" t="s">
        <v>18</v>
      </c>
      <c r="G45" s="2">
        <v>66000</v>
      </c>
      <c r="H45" s="2">
        <v>9570</v>
      </c>
      <c r="I45" s="7">
        <v>4</v>
      </c>
    </row>
    <row r="46" spans="1:9">
      <c r="A46" s="6" t="s">
        <v>68</v>
      </c>
      <c r="B46" s="1">
        <v>46149</v>
      </c>
      <c r="C46" t="s">
        <v>20</v>
      </c>
      <c r="D46" t="s">
        <v>7</v>
      </c>
      <c r="E46" t="s">
        <v>12</v>
      </c>
      <c r="F46" t="s">
        <v>23</v>
      </c>
      <c r="G46" s="2">
        <v>71500</v>
      </c>
      <c r="H46" s="2">
        <v>12154</v>
      </c>
      <c r="I46" s="7">
        <v>5</v>
      </c>
    </row>
    <row r="47" spans="1:9">
      <c r="A47" s="6" t="s">
        <v>69</v>
      </c>
      <c r="B47" s="1">
        <v>46152</v>
      </c>
      <c r="C47" t="s">
        <v>25</v>
      </c>
      <c r="D47" t="s">
        <v>16</v>
      </c>
      <c r="E47" t="s">
        <v>17</v>
      </c>
      <c r="F47" t="s">
        <v>27</v>
      </c>
      <c r="G47" s="2">
        <v>77000</v>
      </c>
      <c r="H47" s="2">
        <v>15015</v>
      </c>
      <c r="I47" s="7">
        <v>6</v>
      </c>
    </row>
    <row r="48" spans="1:9">
      <c r="A48" s="6" t="s">
        <v>70</v>
      </c>
      <c r="B48" s="1">
        <v>46155</v>
      </c>
      <c r="C48" t="s">
        <v>11</v>
      </c>
      <c r="D48" t="s">
        <v>21</v>
      </c>
      <c r="E48" t="s">
        <v>22</v>
      </c>
      <c r="F48" t="s">
        <v>13</v>
      </c>
      <c r="G48" s="2">
        <v>22000</v>
      </c>
      <c r="H48" s="2">
        <v>2640</v>
      </c>
      <c r="I48" s="7">
        <v>7</v>
      </c>
    </row>
    <row r="49" spans="1:9">
      <c r="A49" s="6" t="s">
        <v>71</v>
      </c>
      <c r="B49" s="1">
        <v>46158</v>
      </c>
      <c r="C49" t="s">
        <v>15</v>
      </c>
      <c r="D49" t="s">
        <v>7</v>
      </c>
      <c r="E49" t="s">
        <v>26</v>
      </c>
      <c r="F49" t="s">
        <v>18</v>
      </c>
      <c r="G49" s="2">
        <v>27500</v>
      </c>
      <c r="H49" s="2">
        <v>3987</v>
      </c>
      <c r="I49" s="7">
        <v>8</v>
      </c>
    </row>
    <row r="50" spans="1:9">
      <c r="A50" s="6" t="s">
        <v>72</v>
      </c>
      <c r="B50" s="1">
        <v>46161</v>
      </c>
      <c r="C50" t="s">
        <v>20</v>
      </c>
      <c r="D50" t="s">
        <v>16</v>
      </c>
      <c r="E50" t="s">
        <v>29</v>
      </c>
      <c r="F50" t="s">
        <v>23</v>
      </c>
      <c r="G50" s="2">
        <v>33000</v>
      </c>
      <c r="H50" s="2">
        <v>5609</v>
      </c>
      <c r="I50" s="7">
        <v>9</v>
      </c>
    </row>
    <row r="51" spans="1:9">
      <c r="A51" s="6" t="s">
        <v>73</v>
      </c>
      <c r="B51" s="1">
        <v>46164</v>
      </c>
      <c r="C51" t="s">
        <v>25</v>
      </c>
      <c r="D51" t="s">
        <v>21</v>
      </c>
      <c r="E51" t="s">
        <v>31</v>
      </c>
      <c r="F51" t="s">
        <v>27</v>
      </c>
      <c r="G51" s="2">
        <v>38500</v>
      </c>
      <c r="H51" s="2">
        <v>7507</v>
      </c>
      <c r="I51" s="7">
        <v>10</v>
      </c>
    </row>
    <row r="52" spans="1:9">
      <c r="A52" s="6" t="s">
        <v>74</v>
      </c>
      <c r="B52" s="1">
        <v>46167</v>
      </c>
      <c r="C52" t="s">
        <v>11</v>
      </c>
      <c r="D52" t="s">
        <v>7</v>
      </c>
      <c r="E52" t="s">
        <v>12</v>
      </c>
      <c r="F52" t="s">
        <v>13</v>
      </c>
      <c r="G52" s="2">
        <v>44000</v>
      </c>
      <c r="H52" s="2">
        <v>5280</v>
      </c>
      <c r="I52" s="7">
        <v>11</v>
      </c>
    </row>
    <row r="53" spans="1:9">
      <c r="A53" s="6" t="s">
        <v>75</v>
      </c>
      <c r="B53" s="1">
        <v>46170</v>
      </c>
      <c r="C53" t="s">
        <v>15</v>
      </c>
      <c r="D53" t="s">
        <v>16</v>
      </c>
      <c r="E53" t="s">
        <v>17</v>
      </c>
      <c r="F53" t="s">
        <v>18</v>
      </c>
      <c r="G53" s="2">
        <v>49500</v>
      </c>
      <c r="H53" s="2">
        <v>7177</v>
      </c>
      <c r="I53" s="7">
        <v>12</v>
      </c>
    </row>
    <row r="54" spans="1:9">
      <c r="A54" s="6" t="s">
        <v>76</v>
      </c>
      <c r="B54" s="1">
        <v>46173</v>
      </c>
      <c r="C54" t="s">
        <v>20</v>
      </c>
      <c r="D54" t="s">
        <v>21</v>
      </c>
      <c r="E54" t="s">
        <v>22</v>
      </c>
      <c r="F54" t="s">
        <v>23</v>
      </c>
      <c r="G54" s="2">
        <v>56000</v>
      </c>
      <c r="H54" s="2">
        <v>9520</v>
      </c>
      <c r="I54" s="7">
        <v>13</v>
      </c>
    </row>
    <row r="55" spans="1:9">
      <c r="A55" s="6" t="s">
        <v>77</v>
      </c>
      <c r="B55" s="1">
        <v>46176</v>
      </c>
      <c r="C55" t="s">
        <v>25</v>
      </c>
      <c r="D55" t="s">
        <v>7</v>
      </c>
      <c r="E55" t="s">
        <v>26</v>
      </c>
      <c r="F55" t="s">
        <v>27</v>
      </c>
      <c r="G55" s="2">
        <v>61500</v>
      </c>
      <c r="H55" s="2">
        <v>11992</v>
      </c>
      <c r="I55" s="7">
        <v>14</v>
      </c>
    </row>
    <row r="56" spans="1:9">
      <c r="A56" s="6" t="s">
        <v>78</v>
      </c>
      <c r="B56" s="1">
        <v>46179</v>
      </c>
      <c r="C56" t="s">
        <v>11</v>
      </c>
      <c r="D56" t="s">
        <v>16</v>
      </c>
      <c r="E56" t="s">
        <v>29</v>
      </c>
      <c r="F56" t="s">
        <v>13</v>
      </c>
      <c r="G56" s="2">
        <v>67000</v>
      </c>
      <c r="H56" s="2">
        <v>8040</v>
      </c>
      <c r="I56" s="7">
        <v>2</v>
      </c>
    </row>
    <row r="57" spans="1:9">
      <c r="A57" s="6" t="s">
        <v>79</v>
      </c>
      <c r="B57" s="1">
        <v>46182</v>
      </c>
      <c r="C57" t="s">
        <v>15</v>
      </c>
      <c r="D57" t="s">
        <v>21</v>
      </c>
      <c r="E57" t="s">
        <v>31</v>
      </c>
      <c r="F57" t="s">
        <v>18</v>
      </c>
      <c r="G57" s="2">
        <v>72500</v>
      </c>
      <c r="H57" s="2">
        <v>10512</v>
      </c>
      <c r="I57" s="7">
        <v>3</v>
      </c>
    </row>
    <row r="58" spans="1:9">
      <c r="A58" s="6" t="s">
        <v>80</v>
      </c>
      <c r="B58" s="1">
        <v>46185</v>
      </c>
      <c r="C58" t="s">
        <v>20</v>
      </c>
      <c r="D58" t="s">
        <v>7</v>
      </c>
      <c r="E58" t="s">
        <v>12</v>
      </c>
      <c r="F58" t="s">
        <v>23</v>
      </c>
      <c r="G58" s="2">
        <v>78000</v>
      </c>
      <c r="H58" s="2">
        <v>13259</v>
      </c>
      <c r="I58" s="7">
        <v>4</v>
      </c>
    </row>
    <row r="59" spans="1:9">
      <c r="A59" s="6" t="s">
        <v>81</v>
      </c>
      <c r="B59" s="1">
        <v>46188</v>
      </c>
      <c r="C59" t="s">
        <v>25</v>
      </c>
      <c r="D59" t="s">
        <v>16</v>
      </c>
      <c r="E59" t="s">
        <v>17</v>
      </c>
      <c r="F59" t="s">
        <v>27</v>
      </c>
      <c r="G59" s="2">
        <v>23000</v>
      </c>
      <c r="H59" s="2">
        <v>4485</v>
      </c>
      <c r="I59" s="7">
        <v>5</v>
      </c>
    </row>
    <row r="60" spans="1:9">
      <c r="A60" s="6" t="s">
        <v>82</v>
      </c>
      <c r="B60" s="1">
        <v>46191</v>
      </c>
      <c r="C60" t="s">
        <v>11</v>
      </c>
      <c r="D60" t="s">
        <v>21</v>
      </c>
      <c r="E60" t="s">
        <v>22</v>
      </c>
      <c r="F60" t="s">
        <v>13</v>
      </c>
      <c r="G60" s="2">
        <v>28500</v>
      </c>
      <c r="H60" s="2">
        <v>3420</v>
      </c>
      <c r="I60" s="7">
        <v>6</v>
      </c>
    </row>
    <row r="61" spans="1:9">
      <c r="A61" s="6" t="s">
        <v>83</v>
      </c>
      <c r="B61" s="1">
        <v>46194</v>
      </c>
      <c r="C61" t="s">
        <v>15</v>
      </c>
      <c r="D61" t="s">
        <v>7</v>
      </c>
      <c r="E61" t="s">
        <v>26</v>
      </c>
      <c r="F61" t="s">
        <v>18</v>
      </c>
      <c r="G61" s="2">
        <v>34000</v>
      </c>
      <c r="H61" s="2">
        <v>4930</v>
      </c>
      <c r="I61" s="7">
        <v>7</v>
      </c>
    </row>
    <row r="62" spans="1:9">
      <c r="A62" s="6" t="s">
        <v>84</v>
      </c>
      <c r="B62" s="1">
        <v>46197</v>
      </c>
      <c r="C62" t="s">
        <v>20</v>
      </c>
      <c r="D62" t="s">
        <v>16</v>
      </c>
      <c r="E62" t="s">
        <v>29</v>
      </c>
      <c r="F62" t="s">
        <v>23</v>
      </c>
      <c r="G62" s="2">
        <v>39500</v>
      </c>
      <c r="H62" s="2">
        <v>6714</v>
      </c>
      <c r="I62" s="7">
        <v>8</v>
      </c>
    </row>
    <row r="63" spans="1:9">
      <c r="A63" s="6" t="s">
        <v>85</v>
      </c>
      <c r="B63" s="1">
        <v>46200</v>
      </c>
      <c r="C63" t="s">
        <v>25</v>
      </c>
      <c r="D63" t="s">
        <v>21</v>
      </c>
      <c r="E63" t="s">
        <v>31</v>
      </c>
      <c r="F63" t="s">
        <v>27</v>
      </c>
      <c r="G63" s="2">
        <v>45000</v>
      </c>
      <c r="H63" s="2">
        <v>8775</v>
      </c>
      <c r="I63" s="7">
        <v>9</v>
      </c>
    </row>
    <row r="64" spans="1:9">
      <c r="A64" s="6" t="s">
        <v>86</v>
      </c>
      <c r="B64" s="1">
        <v>46203</v>
      </c>
      <c r="C64" t="s">
        <v>11</v>
      </c>
      <c r="D64" t="s">
        <v>7</v>
      </c>
      <c r="E64" t="s">
        <v>12</v>
      </c>
      <c r="F64" t="s">
        <v>13</v>
      </c>
      <c r="G64" s="2">
        <v>51500</v>
      </c>
      <c r="H64" s="2">
        <v>6180</v>
      </c>
      <c r="I64" s="7">
        <v>10</v>
      </c>
    </row>
    <row r="65" spans="1:9">
      <c r="A65" s="6" t="s">
        <v>87</v>
      </c>
      <c r="B65" s="1">
        <v>46206</v>
      </c>
      <c r="C65" t="s">
        <v>15</v>
      </c>
      <c r="D65" t="s">
        <v>16</v>
      </c>
      <c r="E65" t="s">
        <v>17</v>
      </c>
      <c r="F65" t="s">
        <v>18</v>
      </c>
      <c r="G65" s="2">
        <v>57000</v>
      </c>
      <c r="H65" s="2">
        <v>8265</v>
      </c>
      <c r="I65" s="7">
        <v>11</v>
      </c>
    </row>
    <row r="66" spans="1:9">
      <c r="A66" s="6" t="s">
        <v>88</v>
      </c>
      <c r="B66" s="1">
        <v>46209</v>
      </c>
      <c r="C66" t="s">
        <v>20</v>
      </c>
      <c r="D66" t="s">
        <v>21</v>
      </c>
      <c r="E66" t="s">
        <v>22</v>
      </c>
      <c r="F66" t="s">
        <v>23</v>
      </c>
      <c r="G66" s="2">
        <v>62500</v>
      </c>
      <c r="H66" s="2">
        <v>10624</v>
      </c>
      <c r="I66" s="7">
        <v>12</v>
      </c>
    </row>
    <row r="67" spans="1:9">
      <c r="A67" s="6" t="s">
        <v>89</v>
      </c>
      <c r="B67" s="1">
        <v>46212</v>
      </c>
      <c r="C67" t="s">
        <v>25</v>
      </c>
      <c r="D67" t="s">
        <v>7</v>
      </c>
      <c r="E67" t="s">
        <v>26</v>
      </c>
      <c r="F67" t="s">
        <v>27</v>
      </c>
      <c r="G67" s="2">
        <v>68000</v>
      </c>
      <c r="H67" s="2">
        <v>13260</v>
      </c>
      <c r="I67" s="7">
        <v>13</v>
      </c>
    </row>
    <row r="68" spans="1:9">
      <c r="A68" s="6" t="s">
        <v>90</v>
      </c>
      <c r="B68" s="1">
        <v>46215</v>
      </c>
      <c r="C68" t="s">
        <v>11</v>
      </c>
      <c r="D68" t="s">
        <v>16</v>
      </c>
      <c r="E68" t="s">
        <v>29</v>
      </c>
      <c r="F68" t="s">
        <v>13</v>
      </c>
      <c r="G68" s="2">
        <v>73500</v>
      </c>
      <c r="H68" s="2">
        <v>8820</v>
      </c>
      <c r="I68" s="7">
        <v>14</v>
      </c>
    </row>
    <row r="69" spans="1:9">
      <c r="A69" s="6" t="s">
        <v>91</v>
      </c>
      <c r="B69" s="1">
        <v>46218</v>
      </c>
      <c r="C69" t="s">
        <v>15</v>
      </c>
      <c r="D69" t="s">
        <v>21</v>
      </c>
      <c r="E69" t="s">
        <v>31</v>
      </c>
      <c r="F69" t="s">
        <v>18</v>
      </c>
      <c r="G69" s="2">
        <v>79000</v>
      </c>
      <c r="H69" s="2">
        <v>11455</v>
      </c>
      <c r="I69" s="7">
        <v>2</v>
      </c>
    </row>
    <row r="70" spans="1:9">
      <c r="A70" s="6" t="s">
        <v>92</v>
      </c>
      <c r="B70" s="1">
        <v>46221</v>
      </c>
      <c r="C70" t="s">
        <v>20</v>
      </c>
      <c r="D70" t="s">
        <v>7</v>
      </c>
      <c r="E70" t="s">
        <v>12</v>
      </c>
      <c r="F70" t="s">
        <v>23</v>
      </c>
      <c r="G70" s="2">
        <v>24000</v>
      </c>
      <c r="H70" s="2">
        <v>4079</v>
      </c>
      <c r="I70" s="7">
        <v>3</v>
      </c>
    </row>
    <row r="71" spans="1:9">
      <c r="A71" s="6" t="s">
        <v>93</v>
      </c>
      <c r="B71" s="1">
        <v>46224</v>
      </c>
      <c r="C71" t="s">
        <v>25</v>
      </c>
      <c r="D71" t="s">
        <v>16</v>
      </c>
      <c r="E71" t="s">
        <v>17</v>
      </c>
      <c r="F71" t="s">
        <v>27</v>
      </c>
      <c r="G71" s="2">
        <v>29500</v>
      </c>
      <c r="H71" s="2">
        <v>5752</v>
      </c>
      <c r="I71" s="7">
        <v>4</v>
      </c>
    </row>
    <row r="72" spans="1:9">
      <c r="A72" s="6" t="s">
        <v>94</v>
      </c>
      <c r="B72" s="1">
        <v>46227</v>
      </c>
      <c r="C72" t="s">
        <v>11</v>
      </c>
      <c r="D72" t="s">
        <v>21</v>
      </c>
      <c r="E72" t="s">
        <v>22</v>
      </c>
      <c r="F72" t="s">
        <v>13</v>
      </c>
      <c r="G72" s="2">
        <v>35000</v>
      </c>
      <c r="H72" s="2">
        <v>4200</v>
      </c>
      <c r="I72" s="7">
        <v>5</v>
      </c>
    </row>
    <row r="73" spans="1:9">
      <c r="A73" s="6" t="s">
        <v>95</v>
      </c>
      <c r="B73" s="1">
        <v>46230</v>
      </c>
      <c r="C73" t="s">
        <v>15</v>
      </c>
      <c r="D73" t="s">
        <v>7</v>
      </c>
      <c r="E73" t="s">
        <v>26</v>
      </c>
      <c r="F73" t="s">
        <v>18</v>
      </c>
      <c r="G73" s="2">
        <v>40500</v>
      </c>
      <c r="H73" s="2">
        <v>5872</v>
      </c>
      <c r="I73" s="7">
        <v>6</v>
      </c>
    </row>
    <row r="74" spans="1:9">
      <c r="A74" s="6" t="s">
        <v>96</v>
      </c>
      <c r="B74" s="1">
        <v>46233</v>
      </c>
      <c r="C74" t="s">
        <v>20</v>
      </c>
      <c r="D74" t="s">
        <v>16</v>
      </c>
      <c r="E74" t="s">
        <v>29</v>
      </c>
      <c r="F74" t="s">
        <v>23</v>
      </c>
      <c r="G74" s="2">
        <v>47000</v>
      </c>
      <c r="H74" s="2">
        <v>7989</v>
      </c>
      <c r="I74" s="7">
        <v>7</v>
      </c>
    </row>
    <row r="75" spans="1:9">
      <c r="A75" s="6" t="s">
        <v>97</v>
      </c>
      <c r="B75" s="1">
        <v>46236</v>
      </c>
      <c r="C75" t="s">
        <v>25</v>
      </c>
      <c r="D75" t="s">
        <v>21</v>
      </c>
      <c r="E75" t="s">
        <v>31</v>
      </c>
      <c r="F75" t="s">
        <v>27</v>
      </c>
      <c r="G75" s="2">
        <v>52500</v>
      </c>
      <c r="H75" s="2">
        <v>10237</v>
      </c>
      <c r="I75" s="7">
        <v>8</v>
      </c>
    </row>
    <row r="76" spans="1:9">
      <c r="A76" s="6" t="s">
        <v>98</v>
      </c>
      <c r="B76" s="1">
        <v>46239</v>
      </c>
      <c r="C76" t="s">
        <v>11</v>
      </c>
      <c r="D76" t="s">
        <v>7</v>
      </c>
      <c r="E76" t="s">
        <v>12</v>
      </c>
      <c r="F76" t="s">
        <v>13</v>
      </c>
      <c r="G76" s="2">
        <v>58000</v>
      </c>
      <c r="H76" s="2">
        <v>6960</v>
      </c>
      <c r="I76" s="7">
        <v>9</v>
      </c>
    </row>
    <row r="77" spans="1:9">
      <c r="A77" s="6" t="s">
        <v>99</v>
      </c>
      <c r="B77" s="1">
        <v>46242</v>
      </c>
      <c r="C77" t="s">
        <v>15</v>
      </c>
      <c r="D77" t="s">
        <v>16</v>
      </c>
      <c r="E77" t="s">
        <v>17</v>
      </c>
      <c r="F77" t="s">
        <v>18</v>
      </c>
      <c r="G77" s="2">
        <v>63500</v>
      </c>
      <c r="H77" s="2">
        <v>9207</v>
      </c>
      <c r="I77" s="7">
        <v>10</v>
      </c>
    </row>
    <row r="78" spans="1:9">
      <c r="A78" s="6" t="s">
        <v>100</v>
      </c>
      <c r="B78" s="1">
        <v>46245</v>
      </c>
      <c r="C78" t="s">
        <v>20</v>
      </c>
      <c r="D78" t="s">
        <v>21</v>
      </c>
      <c r="E78" t="s">
        <v>22</v>
      </c>
      <c r="F78" t="s">
        <v>23</v>
      </c>
      <c r="G78" s="2">
        <v>69000</v>
      </c>
      <c r="H78" s="2">
        <v>11729</v>
      </c>
      <c r="I78" s="7">
        <v>11</v>
      </c>
    </row>
    <row r="79" spans="1:9">
      <c r="A79" s="6" t="s">
        <v>101</v>
      </c>
      <c r="B79" s="1">
        <v>46248</v>
      </c>
      <c r="C79" t="s">
        <v>25</v>
      </c>
      <c r="D79" t="s">
        <v>7</v>
      </c>
      <c r="E79" t="s">
        <v>26</v>
      </c>
      <c r="F79" t="s">
        <v>27</v>
      </c>
      <c r="G79" s="2">
        <v>74500</v>
      </c>
      <c r="H79" s="2">
        <v>14527</v>
      </c>
      <c r="I79" s="7">
        <v>12</v>
      </c>
    </row>
    <row r="80" spans="1:9">
      <c r="A80" s="6" t="s">
        <v>102</v>
      </c>
      <c r="B80" s="1">
        <v>46251</v>
      </c>
      <c r="C80" t="s">
        <v>11</v>
      </c>
      <c r="D80" t="s">
        <v>16</v>
      </c>
      <c r="E80" t="s">
        <v>29</v>
      </c>
      <c r="F80" t="s">
        <v>13</v>
      </c>
      <c r="G80" s="2">
        <v>80000</v>
      </c>
      <c r="H80" s="2">
        <v>9600</v>
      </c>
      <c r="I80" s="7">
        <v>13</v>
      </c>
    </row>
    <row r="81" spans="1:9">
      <c r="A81" s="6" t="s">
        <v>103</v>
      </c>
      <c r="B81" s="1">
        <v>46254</v>
      </c>
      <c r="C81" t="s">
        <v>15</v>
      </c>
      <c r="D81" t="s">
        <v>21</v>
      </c>
      <c r="E81" t="s">
        <v>31</v>
      </c>
      <c r="F81" t="s">
        <v>18</v>
      </c>
      <c r="G81" s="2">
        <v>25000</v>
      </c>
      <c r="H81" s="2">
        <v>3624</v>
      </c>
      <c r="I81" s="7">
        <v>14</v>
      </c>
    </row>
    <row r="82" spans="1:9">
      <c r="A82" s="6" t="s">
        <v>104</v>
      </c>
      <c r="B82" s="1">
        <v>46257</v>
      </c>
      <c r="C82" t="s">
        <v>20</v>
      </c>
      <c r="D82" t="s">
        <v>7</v>
      </c>
      <c r="E82" t="s">
        <v>12</v>
      </c>
      <c r="F82" t="s">
        <v>23</v>
      </c>
      <c r="G82" s="2">
        <v>30500</v>
      </c>
      <c r="H82" s="2">
        <v>5184</v>
      </c>
      <c r="I82" s="7">
        <v>2</v>
      </c>
    </row>
    <row r="83" spans="1:9">
      <c r="A83" s="8" t="s">
        <v>105</v>
      </c>
      <c r="B83" s="9">
        <v>46260</v>
      </c>
      <c r="C83" s="10" t="s">
        <v>25</v>
      </c>
      <c r="D83" s="10" t="s">
        <v>16</v>
      </c>
      <c r="E83" s="10" t="s">
        <v>17</v>
      </c>
      <c r="F83" s="10" t="s">
        <v>27</v>
      </c>
      <c r="G83" s="11">
        <v>36000</v>
      </c>
      <c r="H83" s="11">
        <v>7020</v>
      </c>
      <c r="I83" s="12">
        <v>3</v>
      </c>
    </row>
    <row r="84" spans="1:9">
      <c r="G84" s="2">
        <f>SUM(PivotSourceTable[Sales])</f>
        <v>3854000</v>
      </c>
      <c r="H84" s="2">
        <f>SUM(PivotSourceTable[Profit])</f>
        <v>605804</v>
      </c>
      <c r="I84">
        <f>COUNT(PivotSourceTable[Units])</f>
        <v>80</v>
      </c>
    </row>
    <row r="85" spans="1:9">
      <c r="I85">
        <f>SUM(PivotSourceTable[Units])</f>
        <v>629</v>
      </c>
    </row>
  </sheetData>
  <mergeCells count="1">
    <mergeCell ref="A1:I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79726-FB22-4686-A2CE-837F0AA6CCF8}">
  <dimension ref="A1"/>
  <sheetViews>
    <sheetView workbookViewId="0"/>
  </sheetViews>
  <sheetFormatPr defaultRowHeight="13.8"/>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selection sqref="A1:F1"/>
    </sheetView>
  </sheetViews>
  <sheetFormatPr defaultRowHeight="13.8"/>
  <cols>
    <col min="1" max="1" width="10" customWidth="1"/>
    <col min="2" max="3" width="18" customWidth="1"/>
    <col min="4" max="4" width="22" customWidth="1"/>
    <col min="5" max="5" width="30" customWidth="1"/>
    <col min="6" max="6" width="38" customWidth="1"/>
  </cols>
  <sheetData>
    <row r="1" spans="1:6" ht="22.35" customHeight="1">
      <c r="A1" s="31" t="s">
        <v>106</v>
      </c>
      <c r="B1" s="31"/>
      <c r="C1" s="31"/>
      <c r="D1" s="31"/>
      <c r="E1" s="31"/>
      <c r="F1" s="31"/>
    </row>
    <row r="3" spans="1:6">
      <c r="A3" s="3" t="s">
        <v>107</v>
      </c>
      <c r="B3" s="4" t="s">
        <v>108</v>
      </c>
      <c r="C3" s="4" t="s">
        <v>109</v>
      </c>
      <c r="D3" s="4" t="s">
        <v>110</v>
      </c>
      <c r="E3" s="4" t="s">
        <v>111</v>
      </c>
      <c r="F3" s="5" t="s">
        <v>112</v>
      </c>
    </row>
    <row r="4" spans="1:6">
      <c r="A4" s="13" t="s">
        <v>113</v>
      </c>
      <c r="B4" s="14" t="s">
        <v>3</v>
      </c>
      <c r="C4" s="14"/>
      <c r="D4" s="14" t="s">
        <v>114</v>
      </c>
      <c r="E4" s="14"/>
      <c r="F4" s="15" t="s">
        <v>115</v>
      </c>
    </row>
    <row r="5" spans="1:6">
      <c r="A5" s="13" t="s">
        <v>116</v>
      </c>
      <c r="B5" s="14" t="s">
        <v>6</v>
      </c>
      <c r="C5" s="14"/>
      <c r="D5" s="14" t="s">
        <v>114</v>
      </c>
      <c r="E5" s="14"/>
      <c r="F5" s="15" t="s">
        <v>117</v>
      </c>
    </row>
    <row r="6" spans="1:6">
      <c r="A6" s="13" t="s">
        <v>118</v>
      </c>
      <c r="B6" s="14" t="s">
        <v>3</v>
      </c>
      <c r="C6" s="14" t="s">
        <v>6</v>
      </c>
      <c r="D6" s="14" t="s">
        <v>114</v>
      </c>
      <c r="E6" s="14"/>
      <c r="F6" s="15" t="s">
        <v>119</v>
      </c>
    </row>
    <row r="7" spans="1:6" ht="27.6">
      <c r="A7" s="13" t="s">
        <v>120</v>
      </c>
      <c r="B7" s="14" t="s">
        <v>4</v>
      </c>
      <c r="C7" s="14"/>
      <c r="D7" s="14" t="s">
        <v>121</v>
      </c>
      <c r="E7" s="14"/>
      <c r="F7" s="15" t="s">
        <v>122</v>
      </c>
    </row>
    <row r="8" spans="1:6">
      <c r="A8" s="13" t="s">
        <v>123</v>
      </c>
      <c r="B8" s="14" t="s">
        <v>5</v>
      </c>
      <c r="C8" s="14"/>
      <c r="D8" s="14" t="s">
        <v>124</v>
      </c>
      <c r="E8" s="14"/>
      <c r="F8" s="15" t="s">
        <v>125</v>
      </c>
    </row>
    <row r="9" spans="1:6">
      <c r="A9" s="13" t="s">
        <v>126</v>
      </c>
      <c r="B9" s="14" t="s">
        <v>2</v>
      </c>
      <c r="C9" s="14"/>
      <c r="D9" s="14" t="s">
        <v>114</v>
      </c>
      <c r="E9" s="14" t="s">
        <v>127</v>
      </c>
      <c r="F9" s="15" t="s">
        <v>128</v>
      </c>
    </row>
    <row r="10" spans="1:6">
      <c r="A10" s="13" t="s">
        <v>129</v>
      </c>
      <c r="B10" s="14" t="s">
        <v>3</v>
      </c>
      <c r="C10" s="14"/>
      <c r="D10" s="14" t="s">
        <v>114</v>
      </c>
      <c r="E10" s="14" t="s">
        <v>130</v>
      </c>
      <c r="F10" s="15" t="s">
        <v>131</v>
      </c>
    </row>
    <row r="11" spans="1:6">
      <c r="A11" s="13" t="s">
        <v>132</v>
      </c>
      <c r="B11" s="14" t="s">
        <v>5</v>
      </c>
      <c r="C11" s="14"/>
      <c r="D11" s="14" t="s">
        <v>114</v>
      </c>
      <c r="E11" s="14" t="s">
        <v>133</v>
      </c>
      <c r="F11" s="15" t="s">
        <v>134</v>
      </c>
    </row>
    <row r="12" spans="1:6">
      <c r="A12" s="16" t="s">
        <v>135</v>
      </c>
      <c r="B12" s="17" t="s">
        <v>3</v>
      </c>
      <c r="C12" s="17" t="s">
        <v>4</v>
      </c>
      <c r="D12" s="17" t="s">
        <v>136</v>
      </c>
      <c r="E12" s="17" t="s">
        <v>137</v>
      </c>
      <c r="F12" s="18" t="s">
        <v>138</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election sqref="A1:D1"/>
    </sheetView>
  </sheetViews>
  <sheetFormatPr defaultRowHeight="13.8"/>
  <cols>
    <col min="1" max="1" width="8" customWidth="1"/>
    <col min="2" max="2" width="68" customWidth="1"/>
    <col min="3" max="3" width="34" customWidth="1"/>
    <col min="4" max="4" width="28" customWidth="1"/>
  </cols>
  <sheetData>
    <row r="1" spans="1:4" ht="22.35" customHeight="1">
      <c r="A1" s="31" t="s">
        <v>139</v>
      </c>
      <c r="B1" s="31"/>
      <c r="C1" s="31"/>
      <c r="D1" s="31"/>
    </row>
    <row r="3" spans="1:4">
      <c r="A3" s="3" t="s">
        <v>140</v>
      </c>
      <c r="B3" s="4" t="s">
        <v>141</v>
      </c>
      <c r="C3" s="4" t="s">
        <v>142</v>
      </c>
      <c r="D3" s="5" t="s">
        <v>143</v>
      </c>
    </row>
    <row r="4" spans="1:4" ht="27.6">
      <c r="A4" s="13" t="s">
        <v>113</v>
      </c>
      <c r="B4" s="14" t="s">
        <v>144</v>
      </c>
      <c r="C4" s="14" t="s">
        <v>145</v>
      </c>
      <c r="D4" s="15" t="s">
        <v>146</v>
      </c>
    </row>
    <row r="5" spans="1:4">
      <c r="A5" s="13" t="s">
        <v>116</v>
      </c>
      <c r="B5" s="14" t="s">
        <v>147</v>
      </c>
      <c r="C5" s="14" t="s">
        <v>148</v>
      </c>
      <c r="D5" s="15" t="s">
        <v>149</v>
      </c>
    </row>
    <row r="6" spans="1:4">
      <c r="A6" s="13" t="s">
        <v>118</v>
      </c>
      <c r="B6" s="14" t="s">
        <v>150</v>
      </c>
      <c r="C6" s="14" t="s">
        <v>151</v>
      </c>
      <c r="D6" s="15" t="s">
        <v>109</v>
      </c>
    </row>
    <row r="7" spans="1:4">
      <c r="A7" s="13" t="s">
        <v>120</v>
      </c>
      <c r="B7" s="14" t="s">
        <v>152</v>
      </c>
      <c r="C7" s="14" t="s">
        <v>153</v>
      </c>
      <c r="D7" s="15" t="s">
        <v>154</v>
      </c>
    </row>
    <row r="8" spans="1:4">
      <c r="A8" s="13" t="s">
        <v>123</v>
      </c>
      <c r="B8" s="14" t="s">
        <v>155</v>
      </c>
      <c r="C8" s="14" t="s">
        <v>156</v>
      </c>
      <c r="D8" s="15" t="s">
        <v>157</v>
      </c>
    </row>
    <row r="9" spans="1:4">
      <c r="A9" s="13" t="s">
        <v>126</v>
      </c>
      <c r="B9" s="14" t="s">
        <v>158</v>
      </c>
      <c r="C9" s="14" t="s">
        <v>159</v>
      </c>
      <c r="D9" s="15" t="s">
        <v>160</v>
      </c>
    </row>
    <row r="10" spans="1:4">
      <c r="A10" s="13" t="s">
        <v>129</v>
      </c>
      <c r="B10" s="14" t="s">
        <v>161</v>
      </c>
      <c r="C10" s="14" t="s">
        <v>162</v>
      </c>
      <c r="D10" s="15" t="s">
        <v>163</v>
      </c>
    </row>
    <row r="11" spans="1:4">
      <c r="A11" s="16" t="s">
        <v>132</v>
      </c>
      <c r="B11" s="17" t="s">
        <v>164</v>
      </c>
      <c r="C11" s="17" t="s">
        <v>165</v>
      </c>
      <c r="D11" s="18" t="s">
        <v>166</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calculatin 1</vt:lpstr>
      <vt:lpstr>Sheet4</vt:lpstr>
      <vt:lpstr>final sheet</vt:lpstr>
      <vt:lpstr>Business_Transactions</vt:lpstr>
      <vt:lpstr>calculation</vt:lpstr>
      <vt:lpstr>Pivot_Practice_Guide</vt:lpstr>
      <vt:lpstr>Student_Tasks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Harini R</cp:lastModifiedBy>
  <dcterms:created xsi:type="dcterms:W3CDTF">2026-08-12T06:26:12Z</dcterms:created>
  <dcterms:modified xsi:type="dcterms:W3CDTF">2026-08-12T06:26:12Z</dcterms:modified>
</cp:coreProperties>
</file>